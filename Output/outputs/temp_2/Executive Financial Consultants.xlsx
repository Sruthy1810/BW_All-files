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Summary4" sheetId="4" state="visible" r:id="rId4"/>
    <sheet name="Cost" sheetId="5" state="visible" r:id="rId5"/>
    <sheet name="Payments" sheetId="6" state="visible" r:id="rId6"/>
    <sheet name="IntOnly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(&quot;$&quot;* #,##0.00_);_(&quot;$&quot;* \(#,##0.00\);_(&quot;$&quot;* &quot;-&quot;??_);_(@_)"/>
    <numFmt numFmtId="166" formatCode="0.0%"/>
    <numFmt numFmtId="167" formatCode="&quot;$&quot;#,##0.00"/>
  </numFmts>
  <fonts count="1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Times New Roman"/>
      <family val="1"/>
      <color rgb="FF000000"/>
      <sz val="12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indexed="8"/>
      <sz val="11"/>
    </font>
    <font>
      <name val="Arial Narrow"/>
      <family val="2"/>
      <color rgb="FF000000"/>
      <sz val="11"/>
    </font>
    <font>
      <name val="Arial Narrow"/>
      <family val="2"/>
      <b val="1"/>
      <color theme="1"/>
      <sz val="11"/>
    </font>
    <font>
      <name val="Arial Narrow"/>
      <family val="2"/>
      <b val="1"/>
      <color indexed="8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7" fillId="0" borderId="0"/>
    <xf numFmtId="9" fontId="7" fillId="0" borderId="0"/>
    <xf numFmtId="0" fontId="7" fillId="0" borderId="0"/>
    <xf numFmtId="0" fontId="9" fillId="0" borderId="0" applyAlignment="1">
      <alignment vertical="top"/>
    </xf>
    <xf numFmtId="165" fontId="7" fillId="0" borderId="0"/>
    <xf numFmtId="0" fontId="7" fillId="0" borderId="0"/>
    <xf numFmtId="165" fontId="7" fillId="0" borderId="0"/>
    <xf numFmtId="165" fontId="9" fillId="0" borderId="0" applyAlignment="1">
      <alignment vertical="top"/>
    </xf>
    <xf numFmtId="0" fontId="7" fillId="0" borderId="0"/>
  </cellStyleXfs>
  <cellXfs count="9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2" fontId="1" fillId="0" borderId="0" applyAlignment="1" pivotButton="0" quotePrefix="0" xfId="1">
      <alignment horizontal="center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1">
      <alignment horizontal="center"/>
    </xf>
    <xf numFmtId="0" fontId="0" fillId="0" borderId="0" pivotButton="0" quotePrefix="0" xfId="1"/>
    <xf numFmtId="0" fontId="1" fillId="0" borderId="0" applyAlignment="1" pivotButton="0" quotePrefix="0" xfId="1">
      <alignment horizontal="center" wrapText="1"/>
    </xf>
    <xf numFmtId="0" fontId="0" fillId="0" borderId="0" pivotButton="0" quotePrefix="0" xfId="1"/>
    <xf numFmtId="0" fontId="4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horizontal="right" vertical="top"/>
      <protection locked="0" hidden="0"/>
    </xf>
    <xf numFmtId="0" fontId="10" fillId="0" borderId="2" applyAlignment="1" applyProtection="1" pivotButton="0" quotePrefix="0" xfId="0">
      <alignment vertical="top"/>
      <protection locked="0" hidden="0"/>
    </xf>
    <xf numFmtId="0" fontId="11" fillId="0" borderId="0" pivotButton="0" quotePrefix="0" xfId="0"/>
    <xf numFmtId="2" fontId="11" fillId="0" borderId="0" pivotButton="0" quotePrefix="0" xfId="0"/>
    <xf numFmtId="0" fontId="12" fillId="0" borderId="0" pivotButton="0" quotePrefix="0" xfId="2"/>
    <xf numFmtId="0" fontId="12" fillId="0" borderId="0" applyAlignment="1" pivotButton="0" quotePrefix="0" xfId="2">
      <alignment wrapText="1"/>
    </xf>
    <xf numFmtId="0" fontId="13" fillId="0" borderId="0" pivotButton="0" quotePrefix="0" xfId="2"/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left"/>
    </xf>
    <xf numFmtId="165" fontId="13" fillId="0" borderId="0" pivotButton="0" quotePrefix="0" xfId="4"/>
    <xf numFmtId="165" fontId="13" fillId="0" borderId="0" pivotButton="0" quotePrefix="0" xfId="4"/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0" fontId="13" fillId="0" borderId="0" pivotButton="0" quotePrefix="0" xfId="0"/>
    <xf numFmtId="0" fontId="15" fillId="0" borderId="0" pivotButton="0" quotePrefix="0" xfId="0"/>
    <xf numFmtId="165" fontId="13" fillId="0" borderId="1" pivotButton="0" quotePrefix="0" xfId="4"/>
    <xf numFmtId="164" fontId="11" fillId="2" borderId="0" pivotButton="0" quotePrefix="0" xfId="0"/>
    <xf numFmtId="0" fontId="13" fillId="0" borderId="0" pivotButton="0" quotePrefix="0" xfId="5"/>
    <xf numFmtId="0" fontId="11" fillId="0" borderId="0" pivotButton="0" quotePrefix="0" xfId="5"/>
    <xf numFmtId="165" fontId="13" fillId="0" borderId="0" pivotButton="0" quotePrefix="0" xfId="6"/>
    <xf numFmtId="165" fontId="13" fillId="0" borderId="0" pivotButton="0" quotePrefix="0" xfId="6"/>
    <xf numFmtId="165" fontId="13" fillId="0" borderId="1" pivotButton="0" quotePrefix="0" xfId="6"/>
    <xf numFmtId="0" fontId="12" fillId="0" borderId="0" pivotButton="0" quotePrefix="0" xfId="5"/>
    <xf numFmtId="0" fontId="16" fillId="0" borderId="0" pivotButton="0" quotePrefix="0" xfId="5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0" fontId="13" fillId="0" borderId="0" pivotButton="0" quotePrefix="0" xfId="8"/>
    <xf numFmtId="0" fontId="11" fillId="0" borderId="0" pivotButton="0" quotePrefix="0" xfId="2"/>
    <xf numFmtId="165" fontId="13" fillId="0" borderId="1" pivotButton="0" quotePrefix="0" xfId="4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0" fontId="11" fillId="0" borderId="0" applyAlignment="1" applyProtection="1" pivotButton="0" quotePrefix="0" xfId="0">
      <alignment vertical="top"/>
      <protection locked="0" hidden="0"/>
    </xf>
    <xf numFmtId="0" fontId="17" fillId="0" borderId="0" applyAlignment="1" applyProtection="1" pivotButton="0" quotePrefix="0" xfId="0">
      <alignment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center"/>
    </xf>
    <xf numFmtId="0" fontId="16" fillId="0" borderId="0" applyAlignment="1" pivotButton="0" quotePrefix="0" xfId="5">
      <alignment horizontal="center"/>
    </xf>
    <xf numFmtId="0" fontId="16" fillId="0" borderId="0" applyAlignment="1" pivotButton="0" quotePrefix="0" xfId="8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8" fillId="0" borderId="0" applyAlignment="1" pivotButton="0" quotePrefix="0" xfId="0">
      <alignment horizontal="center"/>
    </xf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165" fontId="13" fillId="0" borderId="1" pivotButton="0" quotePrefix="0" xfId="4"/>
    <xf numFmtId="164" fontId="11" fillId="2" borderId="0" pivotButton="0" quotePrefix="0" xfId="0"/>
    <xf numFmtId="165" fontId="13" fillId="0" borderId="0" pivotButton="0" quotePrefix="0" xfId="6"/>
    <xf numFmtId="165" fontId="13" fillId="0" borderId="1" pivotButton="0" quotePrefix="0" xfId="6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164" fontId="0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6" fontId="0" fillId="0" borderId="0" pivotButton="0" quotePrefix="0" xfId="0"/>
    <xf numFmtId="164" fontId="3" fillId="0" borderId="0" pivotButton="0" quotePrefix="0" xfId="0"/>
    <xf numFmtId="164" fontId="0" fillId="0" borderId="0" applyAlignment="1" applyProtection="1" pivotButton="0" quotePrefix="0" xfId="0">
      <alignment vertical="top"/>
      <protection locked="0" hidden="0"/>
    </xf>
    <xf numFmtId="167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</cellXfs>
  <cellStyles count="9">
    <cellStyle name="Normal" xfId="0" builtinId="0"/>
    <cellStyle name="Percent" xfId="1" builtinId="5"/>
    <cellStyle name="Normal 3 2" xfId="2"/>
    <cellStyle name="Normal 2" xfId="3"/>
    <cellStyle name="Currency 2 2" xfId="4"/>
    <cellStyle name="Normal 3 2 3 2" xfId="5"/>
    <cellStyle name="Currency 2 2 2 2" xfId="6"/>
    <cellStyle name="Currency 2" xfId="7"/>
    <cellStyle name="Normal 3 2 2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7541067" cy="885825"/>
    <pic>
      <nvPicPr>
        <cNvPr id="2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7541067" cy="885825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98" zoomScaleNormal="98" workbookViewId="0">
      <selection activeCell="G19" sqref="G19"/>
    </sheetView>
  </sheetViews>
  <sheetFormatPr baseColWidth="8" defaultRowHeight="15"/>
  <cols>
    <col width="24.85546875" customWidth="1" min="1" max="1"/>
    <col width="29.85546875" customWidth="1" min="2" max="2"/>
    <col width="13.28515625" customWidth="1" style="2" min="3" max="3"/>
    <col width="17.5703125" customWidth="1" min="4" max="4"/>
    <col width="15.85546875" customWidth="1" min="5" max="5"/>
    <col width="11.140625" customWidth="1" min="6" max="6"/>
    <col width="7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 ht="15.75" customHeight="1">
      <c r="E3" s="65" t="n"/>
    </row>
    <row r="4" ht="15.75" customHeight="1">
      <c r="E4" s="64" t="n"/>
    </row>
    <row r="5" ht="15.75" customHeight="1">
      <c r="E5" s="66" t="n"/>
    </row>
    <row r="6" ht="15.75" customHeight="1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n"/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>
      <c r="C14" s="26" t="n"/>
    </row>
    <row r="15" ht="16.5" customFormat="1" customHeight="1" s="25">
      <c r="A15" s="27" t="inlineStr">
        <is>
          <t>EXECUTIVE FINANCIAL CONSULTANTS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Payments!E5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6">
        <f>-Payments!H5</f>
        <v/>
      </c>
      <c r="E25" s="30" t="n"/>
      <c r="F25" s="30" t="n"/>
      <c r="G25" s="30" t="n"/>
    </row>
    <row r="26" ht="16.5" customFormat="1" customHeight="1" s="25">
      <c r="A26" s="29" t="inlineStr">
        <is>
          <t>Less - New Costs Advanced by BW LLP</t>
        </is>
      </c>
      <c r="B26" s="29" t="n"/>
      <c r="C26" s="30" t="n"/>
      <c r="D26" s="76">
        <f>-Cost!D5</f>
        <v/>
      </c>
      <c r="E26" s="30" t="n"/>
      <c r="F26" s="30" t="n"/>
      <c r="G26" s="30" t="n"/>
    </row>
    <row r="27" ht="16.5" customFormat="1" customHeight="1" s="25">
      <c r="A27" s="29" t="inlineStr">
        <is>
          <t>Less - Commission on Direct Payments</t>
        </is>
      </c>
      <c r="B27" s="29" t="n"/>
      <c r="C27" s="30" t="n"/>
      <c r="D27" s="77" t="n">
        <v>0</v>
      </c>
      <c r="E27" s="30" t="n"/>
      <c r="F27" s="30" t="n"/>
      <c r="G27" s="30" t="n"/>
    </row>
    <row r="28" ht="16.5" customFormat="1" customHeight="1" s="25">
      <c r="A28" s="29" t="inlineStr">
        <is>
          <t>Net Cash Distribution</t>
        </is>
      </c>
      <c r="B28" s="29" t="n"/>
      <c r="C28" s="30" t="n"/>
      <c r="D28" s="76">
        <f>SUM(D23:D27)</f>
        <v/>
      </c>
      <c r="E28" s="36" t="n"/>
    </row>
    <row r="29" ht="16.5" customFormat="1" customHeight="1" s="25">
      <c r="A29" s="36" t="n"/>
      <c r="B29" s="36" t="n"/>
      <c r="C29" s="36" t="n"/>
      <c r="D29" s="36" t="n"/>
      <c r="E29" s="36" t="n"/>
    </row>
    <row r="30" ht="16.5" customFormat="1" customHeight="1" s="25">
      <c r="C30" s="26" t="n"/>
    </row>
    <row r="31" ht="16.5" customFormat="1" customHeight="1" s="25">
      <c r="C31" s="26" t="n"/>
    </row>
    <row r="32" ht="16.5" customFormat="1" customHeight="1" s="25">
      <c r="C32" s="26" t="n"/>
    </row>
    <row r="33" ht="16.5" customFormat="1" customHeight="1" s="25">
      <c r="C33" s="26" t="n"/>
    </row>
    <row r="34" ht="16.5" customFormat="1" customHeight="1" s="25">
      <c r="C34" s="26" t="n"/>
    </row>
  </sheetData>
  <mergeCells count="18">
    <mergeCell ref="B10:D10"/>
    <mergeCell ref="B11:D11"/>
    <mergeCell ref="E10:G10"/>
    <mergeCell ref="E2:G2"/>
    <mergeCell ref="E11:G11"/>
    <mergeCell ref="E5:G5"/>
    <mergeCell ref="B8:D8"/>
    <mergeCell ref="E8:G8"/>
    <mergeCell ref="A1:D6"/>
    <mergeCell ref="B9:D9"/>
    <mergeCell ref="E12:G12"/>
    <mergeCell ref="E9:G9"/>
    <mergeCell ref="E4:G4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D29" sqref="D29"/>
    </sheetView>
  </sheetViews>
  <sheetFormatPr baseColWidth="8" defaultColWidth="26.42578125" defaultRowHeight="15"/>
  <cols>
    <col width="26.42578125" customWidth="1" min="3" max="4"/>
    <col width="7.42578125" customWidth="1" min="5" max="5"/>
    <col width="4.140625" customWidth="1" min="6" max="6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6.5" customFormat="1" customHeight="1" s="25"/>
    <row r="14" ht="16.5" customFormat="1" customHeight="1" s="25">
      <c r="C14" s="26" t="n"/>
      <c r="F14" s="37" t="n"/>
      <c r="G14" s="37" t="n"/>
    </row>
    <row r="15" ht="16.5" customFormat="1" customHeight="1" s="25">
      <c r="A15" s="27" t="inlineStr">
        <is>
          <t>EXECUTIVE FINANCIAL CONSULTANTS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Payments!D5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8">
        <f>-Payments!H5</f>
        <v/>
      </c>
      <c r="E25" s="30" t="n"/>
      <c r="F25" s="30" t="n"/>
      <c r="G25" s="30" t="n"/>
    </row>
    <row r="26" ht="16.5" customFormat="1" customHeight="1" s="25">
      <c r="A26" s="36" t="inlineStr">
        <is>
          <t>Net Cash Distribution</t>
        </is>
      </c>
      <c r="B26" s="29" t="n"/>
      <c r="C26" s="30" t="n"/>
      <c r="D26" s="76">
        <f>SUM(D23:D25)</f>
        <v/>
      </c>
      <c r="E26" s="30" t="n"/>
      <c r="F26" s="30" t="n"/>
      <c r="G26" s="30" t="n"/>
    </row>
    <row r="27" ht="16.5" customFormat="1" customHeight="1" s="25">
      <c r="A27" s="36" t="n"/>
    </row>
    <row r="28" ht="16.5" customFormat="1" customHeight="1" s="25">
      <c r="A28" s="25" t="inlineStr">
        <is>
          <t xml:space="preserve">Total Due for New Costs Advanced by BW LLP </t>
        </is>
      </c>
      <c r="D28" s="79">
        <f>Cost!D5</f>
        <v/>
      </c>
    </row>
    <row r="29" ht="16.5" customFormat="1" customHeight="1" s="25"/>
    <row r="30" ht="16.5" customFormat="1" customHeight="1" s="25"/>
    <row r="31" ht="16.5" customFormat="1" customHeight="1" s="25"/>
    <row r="32" ht="16.5" customFormat="1" customHeight="1" s="25"/>
    <row r="33" ht="16.5" customFormat="1" customHeight="1" s="25"/>
    <row r="34" ht="16.5" customFormat="1" customHeight="1" s="25"/>
    <row r="35" ht="16.5" customFormat="1" customHeight="1" s="25"/>
    <row r="36" ht="16.5" customFormat="1" customHeight="1" s="25"/>
    <row r="37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topLeftCell="A19" workbookViewId="0">
      <selection activeCell="D52" sqref="D52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EXECUTIVE FINANCIAL CONSULTANTS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68" t="inlineStr">
        <is>
          <t>Payment Summary</t>
        </is>
      </c>
      <c r="E22" s="30" t="n"/>
      <c r="F22" s="30" t="n"/>
      <c r="G22" s="30" t="n"/>
    </row>
    <row r="23" ht="16.5" customFormat="1" customHeight="1" s="25">
      <c r="A23" s="40" t="inlineStr">
        <is>
          <t>Principal Payments</t>
        </is>
      </c>
      <c r="B23" s="40" t="n"/>
      <c r="C23" s="41" t="n"/>
      <c r="D23" s="80">
        <f>Payments!E5</f>
        <v/>
      </c>
      <c r="E23" s="30" t="n"/>
      <c r="F23" s="30" t="n"/>
      <c r="G23" s="30" t="n"/>
    </row>
    <row r="24" ht="16.5" customFormat="1" customHeight="1" s="25">
      <c r="A24" s="40" t="inlineStr">
        <is>
          <t>Costs Returned by Defendant</t>
        </is>
      </c>
      <c r="B24" s="40" t="n"/>
      <c r="C24" s="41" t="n"/>
      <c r="D24" s="80">
        <f>Payments!F5</f>
        <v/>
      </c>
      <c r="E24" s="36" t="n"/>
    </row>
    <row r="25" ht="16.5" customFormat="1" customHeight="1" s="25">
      <c r="A25" s="40" t="inlineStr">
        <is>
          <t>Interest from Payments Worksheet</t>
        </is>
      </c>
      <c r="B25" s="40" t="n"/>
      <c r="C25" s="41" t="n"/>
      <c r="D25" s="80">
        <f>Payments!I5</f>
        <v/>
      </c>
      <c r="E25" s="36" t="n"/>
    </row>
    <row r="26" ht="14.25" customFormat="1" customHeight="1" s="25">
      <c r="A26" s="40" t="inlineStr">
        <is>
          <t>Interest from IntOnly Worksheet</t>
        </is>
      </c>
      <c r="B26" s="40" t="n"/>
      <c r="C26" s="41" t="n"/>
      <c r="D26" s="81">
        <f>IntOnly!C5</f>
        <v/>
      </c>
      <c r="E26" s="36" t="n"/>
    </row>
    <row r="27" ht="16.5" customFormat="1" customHeight="1" s="25">
      <c r="A27" s="45" t="inlineStr">
        <is>
          <t>Total Recovered by BW</t>
        </is>
      </c>
      <c r="B27" s="45" t="n"/>
      <c r="C27" s="46" t="n"/>
      <c r="D27" s="82">
        <f>SUM(D23:D26)</f>
        <v/>
      </c>
      <c r="E27" s="37" t="n"/>
    </row>
    <row r="28" ht="16.5" customFormat="1" customHeight="1" s="25">
      <c r="A28" s="45" t="n"/>
      <c r="B28" s="45" t="n"/>
      <c r="C28" s="46" t="n"/>
      <c r="D28" s="82" t="n"/>
      <c r="E28" s="37" t="n"/>
    </row>
    <row r="29" ht="16.5" customFormat="1" customHeight="1" s="25">
      <c r="A29" s="69" t="inlineStr">
        <is>
          <t>Commission Calculation</t>
        </is>
      </c>
      <c r="E29" s="36" t="n"/>
    </row>
    <row r="30" ht="16.5" customFormat="1" customHeight="1" s="25">
      <c r="A30" s="41" t="inlineStr">
        <is>
          <t>Principal Payments</t>
        </is>
      </c>
      <c r="B30" s="41" t="n"/>
      <c r="C30" s="41" t="n"/>
      <c r="D30" s="83">
        <f>D23</f>
        <v/>
      </c>
    </row>
    <row r="31" ht="16.5" customFormat="1" customHeight="1" s="25">
      <c r="A31" s="41" t="inlineStr">
        <is>
          <t>Client Commission</t>
        </is>
      </c>
      <c r="B31" s="41" t="n"/>
      <c r="C31" s="41" t="n"/>
      <c r="D31" s="84">
        <f>-Payments!G5</f>
        <v/>
      </c>
    </row>
    <row r="32" ht="16.5" customFormat="1" customHeight="1" s="25">
      <c r="A32" s="46" t="inlineStr">
        <is>
          <t>BW Commission</t>
        </is>
      </c>
      <c r="B32" s="46" t="n"/>
      <c r="C32" s="46" t="n"/>
      <c r="D32" s="85">
        <f>SUM(D30:D31)</f>
        <v/>
      </c>
    </row>
    <row r="33" ht="16.5" customFormat="1" customHeight="1" s="25">
      <c r="A33" s="46" t="n"/>
      <c r="B33" s="46" t="n"/>
      <c r="C33" s="46" t="n"/>
      <c r="D33" s="85" t="n"/>
    </row>
    <row r="34" ht="16.5" customFormat="1" customHeight="1" s="25">
      <c r="A34" s="70" t="inlineStr">
        <is>
          <t>Total Cost and Commission for BW LLP</t>
        </is>
      </c>
    </row>
    <row r="35" ht="16.5" customFormat="1" customHeight="1" s="25">
      <c r="A35" s="41" t="inlineStr">
        <is>
          <t>BW Commission</t>
        </is>
      </c>
      <c r="B35" s="41" t="n"/>
      <c r="C35" s="41" t="n"/>
      <c r="D35" s="83">
        <f>D32</f>
        <v/>
      </c>
    </row>
    <row r="36" ht="16.5" customFormat="1" customHeight="1" s="25">
      <c r="A36" s="41" t="inlineStr">
        <is>
          <t>BW Commission on Direct Pmt</t>
        </is>
      </c>
      <c r="B36" s="41" t="n"/>
      <c r="C36" s="41" t="n"/>
      <c r="D36" s="83" t="n">
        <v>0</v>
      </c>
    </row>
    <row r="37" ht="16.5" customFormat="1" customHeight="1" s="25">
      <c r="A37" s="41" t="inlineStr">
        <is>
          <t>Amount due for Advanced Costs</t>
        </is>
      </c>
      <c r="B37" s="41" t="n"/>
      <c r="C37" s="41" t="n"/>
      <c r="D37" s="84">
        <f>Cost!D5</f>
        <v/>
      </c>
    </row>
    <row r="38" ht="16.5" customFormat="1" customHeight="1" s="25">
      <c r="A38" s="46" t="inlineStr">
        <is>
          <t>Total Due to BW LLP</t>
        </is>
      </c>
      <c r="B38" s="46" t="n"/>
      <c r="C38" s="46" t="n"/>
      <c r="D38" s="86">
        <f>SUM(D35:D37)</f>
        <v/>
      </c>
    </row>
    <row r="39" ht="16.5" customFormat="1" customHeight="1" s="25">
      <c r="A39" s="46" t="n"/>
      <c r="B39" s="46" t="n"/>
      <c r="C39" s="46" t="n"/>
      <c r="D39" s="85" t="n"/>
    </row>
    <row r="40" ht="16.5" customFormat="1" customHeight="1" s="25">
      <c r="A40" s="69" t="inlineStr">
        <is>
          <t>ACH Explanation</t>
        </is>
      </c>
    </row>
    <row r="41" ht="16.5" customFormat="1" customHeight="1" s="25">
      <c r="A41" s="41" t="inlineStr">
        <is>
          <t>Total Recovered by BW LLP</t>
        </is>
      </c>
      <c r="B41" s="41" t="n"/>
      <c r="C41" s="41" t="n"/>
      <c r="D41" s="83">
        <f>D27</f>
        <v/>
      </c>
    </row>
    <row r="42" ht="16.5" customFormat="1" customHeight="1" s="25">
      <c r="A42" s="41" t="inlineStr">
        <is>
          <t>Less- Interest Kept By BW from Payments Worksheet</t>
        </is>
      </c>
      <c r="B42" s="41" t="n"/>
      <c r="C42" s="41" t="n"/>
      <c r="D42" s="83">
        <f>-D25</f>
        <v/>
      </c>
    </row>
    <row r="43" ht="16.5" customFormat="1" customHeight="1" s="25">
      <c r="A43" s="41" t="inlineStr">
        <is>
          <t>Less- Interest Kept By BW from Int Only Worksheet</t>
        </is>
      </c>
      <c r="B43" s="41" t="n"/>
      <c r="C43" s="41" t="n"/>
      <c r="D43" s="83">
        <f>-D26</f>
        <v/>
      </c>
    </row>
    <row r="44" ht="16.5" customFormat="1" customHeight="1" s="25">
      <c r="A44" s="41" t="inlineStr">
        <is>
          <t>Less- BW Commission</t>
        </is>
      </c>
      <c r="B44" s="41" t="n"/>
      <c r="C44" s="41" t="n"/>
      <c r="D44" s="83">
        <f>-(D35+D36)</f>
        <v/>
      </c>
    </row>
    <row r="45" ht="16.5" customFormat="1" customHeight="1" s="25">
      <c r="A45" s="41" t="inlineStr">
        <is>
          <t>Less Amount Due for Advanced Costs</t>
        </is>
      </c>
      <c r="B45" s="41" t="n"/>
      <c r="C45" s="41" t="n"/>
      <c r="D45" s="84">
        <f>-D37</f>
        <v/>
      </c>
    </row>
    <row r="46" ht="16.5" customFormat="1" customHeight="1" s="25">
      <c r="A46" s="46" t="inlineStr">
        <is>
          <t>Total Sent to Client Via ACH</t>
        </is>
      </c>
      <c r="B46" s="46" t="n"/>
      <c r="C46" s="46" t="n"/>
      <c r="D46" s="86">
        <f>SUM(D41:D45)</f>
        <v/>
      </c>
    </row>
  </sheetData>
  <mergeCells count="22">
    <mergeCell ref="B11:D11"/>
    <mergeCell ref="E10:G10"/>
    <mergeCell ref="A22:D22"/>
    <mergeCell ref="B8:D8"/>
    <mergeCell ref="A1:D6"/>
    <mergeCell ref="A29:D29"/>
    <mergeCell ref="E9:G9"/>
    <mergeCell ref="E6:G6"/>
    <mergeCell ref="B10:D10"/>
    <mergeCell ref="A40:D40"/>
    <mergeCell ref="E2:G2"/>
    <mergeCell ref="E11:G11"/>
    <mergeCell ref="A34:D34"/>
    <mergeCell ref="B9:D9"/>
    <mergeCell ref="E7:G7"/>
    <mergeCell ref="E12:G12"/>
    <mergeCell ref="E3:G3"/>
    <mergeCell ref="B7:D7"/>
    <mergeCell ref="E5:G5"/>
    <mergeCell ref="E8:G8"/>
    <mergeCell ref="E4:G4"/>
    <mergeCell ref="B12: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topLeftCell="A10" workbookViewId="0">
      <selection activeCell="D29" sqref="D29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EXECUTIVE FINANCIAL CONSULTANTS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52" t="inlineStr">
        <is>
          <t>Defendant Payments</t>
        </is>
      </c>
      <c r="B23" s="29" t="n"/>
      <c r="C23" s="53" t="n"/>
      <c r="D23" s="76">
        <f>Payments!D5</f>
        <v/>
      </c>
      <c r="E23" s="53" t="n"/>
      <c r="F23" s="30" t="n"/>
      <c r="G23" s="30" t="n"/>
    </row>
    <row r="24" ht="16.5" customFormat="1" customHeight="1" s="25">
      <c r="A24" s="52" t="inlineStr">
        <is>
          <t>Less - BW LLP Share</t>
        </is>
      </c>
      <c r="B24" s="29" t="n"/>
      <c r="C24" s="53" t="n"/>
      <c r="D24" s="76">
        <f>-Payments!H5</f>
        <v/>
      </c>
      <c r="E24" s="53" t="n"/>
      <c r="F24" s="30" t="n"/>
      <c r="G24" s="30" t="n"/>
    </row>
    <row r="25" ht="16.5" customFormat="1" customHeight="1" s="25">
      <c r="A25" s="52" t="inlineStr">
        <is>
          <t>Less - BW LLP Interest</t>
        </is>
      </c>
      <c r="B25" s="29" t="n"/>
      <c r="C25" s="53" t="n"/>
      <c r="D25" s="76">
        <f>-Payments!I5</f>
        <v/>
      </c>
      <c r="E25" s="53" t="n"/>
      <c r="F25" s="30" t="n"/>
      <c r="G25" s="30" t="n"/>
    </row>
    <row r="26" ht="16.5" customFormat="1" customHeight="1" s="25">
      <c r="A26" s="52" t="inlineStr">
        <is>
          <t>Less - Costs Recovered For BW LLP</t>
        </is>
      </c>
      <c r="B26" s="29" t="n"/>
      <c r="C26" s="53" t="n"/>
      <c r="D26" s="78">
        <f>-Payments!F5</f>
        <v/>
      </c>
      <c r="E26" s="53" t="n"/>
      <c r="F26" s="30" t="n"/>
      <c r="G26" s="30" t="n"/>
    </row>
    <row r="27" ht="14.25" customFormat="1" customHeight="1" s="25">
      <c r="A27" s="52" t="inlineStr">
        <is>
          <t>Net Cash Distribution</t>
        </is>
      </c>
      <c r="B27" s="29" t="n"/>
      <c r="C27" s="53" t="n"/>
      <c r="D27" s="87">
        <f>SUM(D23:D26)</f>
        <v/>
      </c>
      <c r="E27" s="53" t="n"/>
      <c r="F27" s="30" t="n"/>
      <c r="G27" s="30" t="n"/>
    </row>
    <row r="28" ht="16.5" customFormat="1" customHeight="1" s="25">
      <c r="A28" s="29" t="n"/>
      <c r="B28" s="29" t="n"/>
      <c r="C28" s="53" t="n"/>
      <c r="D28" s="76" t="n"/>
      <c r="E28" s="53" t="n"/>
    </row>
    <row r="29" ht="16.5" customFormat="1" customHeight="1" s="25">
      <c r="A29" s="29" t="inlineStr">
        <is>
          <t>New Costs Advanced by BW LLP</t>
        </is>
      </c>
      <c r="B29" s="53" t="n"/>
      <c r="C29" s="53" t="n"/>
      <c r="D29" s="88" t="n"/>
      <c r="E29" s="53" t="n"/>
    </row>
    <row r="30" ht="16.5" customFormat="1" customHeight="1" s="25"/>
    <row r="31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D19" sqref="D19"/>
    </sheetView>
  </sheetViews>
  <sheetFormatPr baseColWidth="8" defaultRowHeight="15"/>
  <cols>
    <col width="37.5703125" customWidth="1" min="1" max="1"/>
    <col width="25.28515625" customWidth="1" min="2" max="2"/>
    <col width="31.7109375" customWidth="1" style="19" min="3" max="3"/>
    <col width="41.5703125" customWidth="1" style="89" min="4" max="4"/>
    <col width="46.28515625" customWidth="1" min="5" max="5"/>
    <col width="54.7109375" customWidth="1" min="6" max="6"/>
  </cols>
  <sheetData>
    <row r="1">
      <c r="B1" s="71" t="inlineStr">
        <is>
          <t>EXECUTIVE FINANCIAL CONSULTANTS COST REPORT</t>
        </is>
      </c>
    </row>
    <row r="2">
      <c r="B2" s="71" t="inlineStr">
        <is>
          <t>Costs Thru 10-19-2026</t>
        </is>
      </c>
    </row>
    <row r="3">
      <c r="B3" s="74" t="n"/>
      <c r="C3" s="16" t="n"/>
      <c r="D3" s="90" t="n"/>
      <c r="E3" s="8" t="inlineStr">
        <is>
          <t> </t>
        </is>
      </c>
    </row>
    <row r="4">
      <c r="B4" s="74" t="n"/>
      <c r="C4" s="16" t="n"/>
      <c r="D4" s="90" t="n"/>
      <c r="E4" s="8" t="n"/>
    </row>
    <row r="5">
      <c r="B5" s="9" t="inlineStr">
        <is>
          <t>Total</t>
        </is>
      </c>
      <c r="C5" s="19" t="n"/>
      <c r="D5" s="89">
        <f>SUM(D8:D6500)</f>
        <v/>
      </c>
      <c r="E5" s="10" t="n"/>
    </row>
    <row r="6">
      <c r="C6" s="19" t="n"/>
    </row>
    <row r="7" ht="26.25" customHeight="1">
      <c r="A7" s="71" t="inlineStr">
        <is>
          <t>DEFENDANT'S NAME</t>
        </is>
      </c>
      <c r="B7" s="71" t="inlineStr">
        <is>
          <t>PLAINTIFF</t>
        </is>
      </c>
      <c r="C7" s="18" t="inlineStr">
        <is>
          <t>REF NO.</t>
        </is>
      </c>
      <c r="D7" s="91" t="inlineStr">
        <is>
          <t>AMOUNT</t>
        </is>
      </c>
      <c r="E7" s="71" t="inlineStr">
        <is>
          <t>COST REASON</t>
        </is>
      </c>
      <c r="F7" s="71" t="inlineStr">
        <is>
          <t>NOTES</t>
        </is>
      </c>
    </row>
    <row r="8">
      <c r="A8" t="inlineStr">
        <is>
          <t>Breeanna Martinez</t>
        </is>
      </c>
      <c r="B8" t="inlineStr">
        <is>
          <t>Board of Trustees of North Kansas City Hospital d/b/a
Plaintiff Name 2:  NKC Health</t>
        </is>
      </c>
      <c r="C8" s="19" t="inlineStr">
        <is>
          <t>2280406-3</t>
        </is>
      </c>
      <c r="D8" t="n">
        <v>70</v>
      </c>
      <c r="E8" t="inlineStr">
        <is>
          <t>ESPS:ACH Special Prcss Fee</t>
        </is>
      </c>
      <c r="F8" t="inlineStr">
        <is>
          <t>alias</t>
        </is>
      </c>
    </row>
    <row r="9">
      <c r="A9" t="inlineStr">
        <is>
          <t>William G. Stone</t>
        </is>
      </c>
      <c r="B9" t="inlineStr">
        <is>
          <t>Board of Trustees of North Kansas City Hospital d/b/a
Plaintiff Name 2:  NKC Health</t>
        </is>
      </c>
      <c r="C9" s="19" t="inlineStr">
        <is>
          <t>2289376-3-2371255</t>
        </is>
      </c>
      <c r="D9" t="n">
        <v>10.5</v>
      </c>
      <c r="E9" t="inlineStr">
        <is>
          <t>EFIL:E-filed Filing Fee</t>
        </is>
      </c>
      <c r="F9" t="inlineStr">
        <is>
          <t>Court Fee</t>
        </is>
      </c>
    </row>
    <row r="10">
      <c r="A10" t="inlineStr">
        <is>
          <t>William G. Stone</t>
        </is>
      </c>
      <c r="B10" t="inlineStr">
        <is>
          <t>Board of Trustees of North Kansas City Hospital d/b/a
Plaintiff Name 2:  NKC Health</t>
        </is>
      </c>
      <c r="C10" s="19" t="inlineStr">
        <is>
          <t>2289376-3-2371255</t>
        </is>
      </c>
      <c r="D10" t="n">
        <v>46</v>
      </c>
      <c r="E10" t="inlineStr">
        <is>
          <t>SHFE:Sheriff's Fee</t>
        </is>
      </c>
      <c r="F10" t="inlineStr">
        <is>
          <t>gmt @ mr poe</t>
        </is>
      </c>
    </row>
    <row r="11">
      <c r="A11" t="inlineStr">
        <is>
          <t>Steel I. Susaia</t>
        </is>
      </c>
      <c r="B11" t="inlineStr">
        <is>
          <t>Board of Trustees of North Kansas City Hospital d/b/a
Plaintiff Name 2:  NKC Health</t>
        </is>
      </c>
      <c r="C11" s="19" t="inlineStr">
        <is>
          <t>2353221-3</t>
        </is>
      </c>
      <c r="D11" t="n">
        <v>10.5</v>
      </c>
      <c r="E11" t="inlineStr">
        <is>
          <t>EFIL:E-filed Filing Fee</t>
        </is>
      </c>
      <c r="F11" t="inlineStr">
        <is>
          <t>Court fee</t>
        </is>
      </c>
    </row>
    <row r="12">
      <c r="A12" t="inlineStr">
        <is>
          <t>Steel I. Susaia</t>
        </is>
      </c>
      <c r="B12" t="inlineStr">
        <is>
          <t>Board of Trustees of North Kansas City Hospital d/b/a
Plaintiff Name 2:  NKC Health</t>
        </is>
      </c>
      <c r="C12" s="19" t="inlineStr">
        <is>
          <t>2353221-3</t>
        </is>
      </c>
      <c r="D12" t="n">
        <v>46</v>
      </c>
      <c r="E12" t="inlineStr">
        <is>
          <t>SHFE:Sheriff's Fee</t>
        </is>
      </c>
      <c r="F12" t="inlineStr">
        <is>
          <t>gmt @ mr poe</t>
        </is>
      </c>
    </row>
    <row r="13">
      <c r="C13" s="19" t="n"/>
    </row>
    <row r="14">
      <c r="C14" s="19" t="n"/>
    </row>
    <row r="15">
      <c r="C15" s="19" t="n"/>
    </row>
  </sheetData>
  <mergeCells count="2">
    <mergeCell ref="B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C11" sqref="C11"/>
    </sheetView>
  </sheetViews>
  <sheetFormatPr baseColWidth="8" defaultRowHeight="15"/>
  <cols>
    <col width="38.5703125" customWidth="1" min="1" max="1"/>
    <col width="25.5703125" customWidth="1" min="2" max="2"/>
    <col width="21.5703125" customWidth="1" min="3" max="3"/>
    <col width="16.140625" customWidth="1" style="89" min="4" max="4"/>
    <col width="17" customWidth="1" style="89" min="5" max="5"/>
    <col width="19.28515625" customWidth="1" style="89" min="6" max="6"/>
    <col width="20.140625" customWidth="1" style="89" min="7" max="7"/>
    <col width="20.42578125" customWidth="1" style="89" min="8" max="8"/>
    <col width="13.85546875" customWidth="1" style="89" min="9" max="9"/>
  </cols>
  <sheetData>
    <row r="1">
      <c r="A1" s="75" t="inlineStr">
        <is>
          <t>EXECUTIVE FINANCIAL CONSULTANTS PAYMENT SHEET</t>
        </is>
      </c>
    </row>
    <row r="2">
      <c r="A2" s="75" t="inlineStr">
        <is>
          <t>Payments Through 10-19-2026</t>
        </is>
      </c>
    </row>
    <row r="4">
      <c r="G4" s="92" t="n">
        <v>0.18</v>
      </c>
      <c r="H4" s="92" t="n">
        <v>0.82</v>
      </c>
    </row>
    <row r="5">
      <c r="C5" t="inlineStr">
        <is>
          <t>Total</t>
        </is>
      </c>
      <c r="D5" s="89">
        <f>SUM(D8:D65000)</f>
        <v/>
      </c>
      <c r="E5" s="89">
        <f>SUM(E8:E65000)</f>
        <v/>
      </c>
      <c r="F5" s="89">
        <f>SUM(F8:F65000)</f>
        <v/>
      </c>
      <c r="G5" s="89">
        <f>SUM(G8:G65000)</f>
        <v/>
      </c>
      <c r="H5" s="89">
        <f>SUM(H8:H65000)</f>
        <v/>
      </c>
      <c r="I5" s="89">
        <f>SUM(I8:I65000)</f>
        <v/>
      </c>
    </row>
    <row r="7">
      <c r="A7" s="71" t="inlineStr">
        <is>
          <t>DEFENDANT'S NAME</t>
        </is>
      </c>
      <c r="B7" s="71" t="inlineStr">
        <is>
          <t>PLAINTIFF</t>
        </is>
      </c>
      <c r="C7" s="73" t="inlineStr">
        <is>
          <t>REF NO.</t>
        </is>
      </c>
      <c r="D7" s="91" t="inlineStr">
        <is>
          <t xml:space="preserve"> TOTAL PAYMENT </t>
        </is>
      </c>
      <c r="E7" s="91" t="n"/>
      <c r="F7" s="91" t="inlineStr">
        <is>
          <t xml:space="preserve"> COSTS
RETURNED </t>
        </is>
      </c>
      <c r="G7" s="91" t="inlineStr">
        <is>
          <t xml:space="preserve"> CLIENT
SHARE </t>
        </is>
      </c>
      <c r="H7" s="91" t="inlineStr">
        <is>
          <t xml:space="preserve"> BW, LLP SHARE </t>
        </is>
      </c>
      <c r="I7" s="91" t="inlineStr">
        <is>
          <t>BW, LLP INTEREST</t>
        </is>
      </c>
      <c r="J7" s="73" t="inlineStr">
        <is>
          <t>Notes</t>
        </is>
      </c>
      <c r="K7" s="74" t="n"/>
      <c r="L7" s="11" t="n"/>
    </row>
    <row r="8" ht="26.25" customHeight="1">
      <c r="E8" s="91" t="inlineStr">
        <is>
          <t xml:space="preserve"> APPLIED TO PRIN </t>
        </is>
      </c>
      <c r="L8" s="11" t="n"/>
    </row>
    <row r="9">
      <c r="A9" s="11" t="inlineStr">
        <is>
          <t>Robyn K. Pekarsky</t>
        </is>
      </c>
      <c r="B9" s="11" t="inlineStr">
        <is>
          <t>The Board of Trustees of North Kansas City Hospital
Plaintiff Name 2:</t>
        </is>
      </c>
      <c r="C9" s="11" t="inlineStr">
        <is>
          <t>2109480</t>
        </is>
      </c>
      <c r="D9" s="93" t="n">
        <v>125</v>
      </c>
      <c r="E9" s="93" t="n">
        <v>125</v>
      </c>
      <c r="F9" s="93" t="n">
        <v>0</v>
      </c>
      <c r="G9" s="93" t="n">
        <v>22.5</v>
      </c>
      <c r="H9" s="93" t="n">
        <v>102.5</v>
      </c>
      <c r="I9" s="93" t="n">
        <v>0</v>
      </c>
      <c r="J9" s="11" t="inlineStr"/>
      <c r="K9" s="11" t="n"/>
      <c r="L9" s="11" t="n"/>
    </row>
    <row r="10">
      <c r="A10" s="11" t="inlineStr">
        <is>
          <t>Merlene M. Ray</t>
        </is>
      </c>
      <c r="B10" s="11" t="inlineStr">
        <is>
          <t>The Board of Trustees of North Kansas City Hospital
Plaintiff Name 2:</t>
        </is>
      </c>
      <c r="C10" s="11" t="inlineStr">
        <is>
          <t>1984087</t>
        </is>
      </c>
      <c r="D10" s="93" t="n">
        <v>100</v>
      </c>
      <c r="E10" s="93" t="n">
        <v>100</v>
      </c>
      <c r="F10" s="93" t="n">
        <v>0</v>
      </c>
      <c r="G10" s="93" t="n">
        <v>18</v>
      </c>
      <c r="H10" s="93" t="n">
        <v>82</v>
      </c>
      <c r="I10" s="93" t="n">
        <v>0</v>
      </c>
      <c r="J10" s="11" t="inlineStr"/>
      <c r="K10" s="11" t="n"/>
      <c r="L10" s="11" t="n"/>
    </row>
    <row r="11">
      <c r="A11" s="11" t="inlineStr">
        <is>
          <t>Albert Ryan</t>
        </is>
      </c>
      <c r="B11" s="11" t="inlineStr">
        <is>
          <t>The Board of Trustees of North Kansas City Hospital
Plaintiff Name 2:</t>
        </is>
      </c>
      <c r="C11" s="11" t="inlineStr">
        <is>
          <t>705336</t>
        </is>
      </c>
      <c r="D11" s="93" t="n">
        <v>100</v>
      </c>
      <c r="E11" s="93" t="n">
        <v>100</v>
      </c>
      <c r="F11" s="93" t="n">
        <v>0</v>
      </c>
      <c r="G11" s="93" t="n">
        <v>18</v>
      </c>
      <c r="H11" s="93" t="n">
        <v>82</v>
      </c>
      <c r="I11" s="93" t="n">
        <v>0</v>
      </c>
      <c r="J11" s="11" t="inlineStr"/>
      <c r="K11" s="11" t="n"/>
      <c r="L11" s="11" t="n"/>
    </row>
    <row r="12">
      <c r="A12" s="11" t="inlineStr">
        <is>
          <t>Carl Updegraff</t>
        </is>
      </c>
      <c r="B12" s="11" t="inlineStr">
        <is>
          <t>The Board of Trustees of North Kansas City Hospital
Plaintiff Name 2:</t>
        </is>
      </c>
      <c r="C12" s="11" t="inlineStr">
        <is>
          <t>1349034</t>
        </is>
      </c>
      <c r="D12" s="93" t="n">
        <v>29.8</v>
      </c>
      <c r="E12" s="93" t="n">
        <v>29.8</v>
      </c>
      <c r="F12" s="93" t="n">
        <v>0</v>
      </c>
      <c r="G12" s="93" t="n">
        <v>5.36</v>
      </c>
      <c r="H12" s="93" t="n">
        <v>24.44</v>
      </c>
      <c r="I12" s="93" t="n">
        <v>0</v>
      </c>
      <c r="J12" s="11" t="inlineStr"/>
      <c r="K12" s="11" t="n"/>
      <c r="L12" s="11" t="n"/>
    </row>
    <row r="13">
      <c r="A13" s="11" t="inlineStr">
        <is>
          <t>Carl Updegraff</t>
        </is>
      </c>
      <c r="B13" s="11" t="inlineStr">
        <is>
          <t>The Board of Trustees of North Kansas City Hospital
Plaintiff Name 2:</t>
        </is>
      </c>
      <c r="C13" s="11" t="inlineStr">
        <is>
          <t>1349034</t>
        </is>
      </c>
      <c r="D13" s="93" t="n">
        <v>20.2</v>
      </c>
      <c r="E13" s="93" t="n">
        <v>20.2</v>
      </c>
      <c r="F13" s="93" t="n">
        <v>0</v>
      </c>
      <c r="G13" s="93" t="n">
        <v>3.64</v>
      </c>
      <c r="H13" s="93" t="n">
        <v>16.56</v>
      </c>
      <c r="I13" s="93" t="n">
        <v>0</v>
      </c>
      <c r="J13" s="11" t="inlineStr"/>
      <c r="K13" s="11" t="n"/>
      <c r="L13" s="11" t="n"/>
    </row>
  </sheetData>
  <mergeCells count="12">
    <mergeCell ref="A1:J1"/>
    <mergeCell ref="C7:C8"/>
    <mergeCell ref="A7:A8"/>
    <mergeCell ref="D7:D8"/>
    <mergeCell ref="B7:B8"/>
    <mergeCell ref="K7:K8"/>
    <mergeCell ref="H7:H8"/>
    <mergeCell ref="I7:I8"/>
    <mergeCell ref="A2:J2"/>
    <mergeCell ref="J7:J8"/>
    <mergeCell ref="F7:F8"/>
    <mergeCell ref="G7:G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C5" sqref="C5"/>
    </sheetView>
  </sheetViews>
  <sheetFormatPr baseColWidth="8" defaultRowHeight="15"/>
  <cols>
    <col width="53.140625" customWidth="1" min="1" max="1"/>
    <col width="58.140625" customWidth="1" min="2" max="2"/>
    <col width="65.5703125" customWidth="1" style="89" min="3" max="3"/>
  </cols>
  <sheetData>
    <row r="1" ht="16.5" customHeight="1">
      <c r="A1" s="58" t="inlineStr">
        <is>
          <t>EXECUTIVE FINANCIAL CONSULTANTS</t>
        </is>
      </c>
      <c r="B1" s="57" t="n"/>
      <c r="C1" s="94" t="n"/>
    </row>
    <row r="2" ht="16.5" customHeight="1">
      <c r="A2" s="59" t="inlineStr">
        <is>
          <t>Interest Only Payments Through 10-19-2026</t>
        </is>
      </c>
      <c r="B2" s="57" t="n"/>
      <c r="C2" s="94" t="n"/>
    </row>
    <row r="3" ht="16.5" customHeight="1">
      <c r="A3" s="57" t="n"/>
      <c r="B3" s="57" t="n"/>
      <c r="C3" s="94" t="n"/>
    </row>
    <row r="4">
      <c r="A4" s="21" t="n"/>
      <c r="B4" s="21" t="n"/>
      <c r="C4" s="94" t="n"/>
    </row>
    <row r="5">
      <c r="A5" s="22" t="n"/>
      <c r="B5" s="23" t="inlineStr">
        <is>
          <t>Total</t>
        </is>
      </c>
      <c r="C5" s="95">
        <f>SUM(C8:C1000)</f>
        <v/>
      </c>
    </row>
    <row r="6">
      <c r="A6" s="21" t="n"/>
      <c r="B6" s="21" t="n"/>
      <c r="C6" s="94" t="n"/>
    </row>
    <row r="7" ht="15.75" customHeight="1" thickBot="1">
      <c r="A7" s="24" t="inlineStr">
        <is>
          <t>DEFENDANT</t>
        </is>
      </c>
      <c r="B7" s="24" t="inlineStr">
        <is>
          <t>PLAINTIFF</t>
        </is>
      </c>
      <c r="C7" s="96" t="inlineStr">
        <is>
          <t>BW LLP INTEREST</t>
        </is>
      </c>
    </row>
    <row r="8">
      <c r="A8" t="inlineStr">
        <is>
          <t>Marcia S. Alo</t>
        </is>
      </c>
      <c r="B8" t="inlineStr">
        <is>
          <t>Mid-America Kidney Stone Association, LLC
Plaintiff Name 2:</t>
        </is>
      </c>
      <c r="C8" t="n">
        <v>50</v>
      </c>
    </row>
    <row r="9">
      <c r="A9" t="inlineStr">
        <is>
          <t>Christion S. Lopez-Anderson</t>
        </is>
      </c>
      <c r="B9" t="inlineStr">
        <is>
          <t>The Board of Trustees of North Kansas City Hospital
Plaintiff Name 2:</t>
        </is>
      </c>
      <c r="C9" t="n">
        <v>161.08</v>
      </c>
    </row>
    <row r="10">
      <c r="A10" t="inlineStr">
        <is>
          <t>Erin Walker</t>
        </is>
      </c>
      <c r="B10" t="inlineStr">
        <is>
          <t>The Board of Trustees of North Kansas City Hospital
Plaintiff Name 2:</t>
        </is>
      </c>
      <c r="C10" t="n">
        <v>74.33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2026-10-19T05:58:04Z</dcterms:modified>
  <cp:lastModifiedBy>Parvathynathan K</cp:lastModifiedBy>
</cp:coreProperties>
</file>
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720" tabRatio="600" firstSheet="0" activeTab="3" autoFilterDateGrouping="1"/>
  </bookViews>
  <sheets>
    <sheet name="Summary1" sheetId="1" state="visible" r:id="rId1"/>
    <sheet name="Summary2" sheetId="2" state="visible" r:id="rId2"/>
    <sheet name="Summary3" sheetId="3" state="visible" r:id="rId3"/>
    <sheet name="Summary4" sheetId="4" state="visible" r:id="rId4"/>
    <sheet name="Cost" sheetId="5" state="visible" r:id="rId5"/>
    <sheet name="Payments" sheetId="6" state="visible" r:id="rId6"/>
    <sheet name="IntOnly" sheetId="7" state="visible" r:id="rId7"/>
  </sheets>
  <definedNames/>
  <calcPr calcId="191029" fullCalcOnLoad="1" forceFullCalc="1"/>
</workbook>
</file>

<file path=xl/styles.xml><?xml version="1.0" encoding="utf-8"?>
<styleSheet xmlns="http://schemas.openxmlformats.org/spreadsheetml/2006/main">
  <numFmts count="4">
    <numFmt numFmtId="164" formatCode="_-[$$-409]* #,##0.00_ ;_-[$$-409]* \-#,##0.00\ ;_-[$$-409]* &quot;-&quot;??_ ;_-@_ "/>
    <numFmt numFmtId="165" formatCode="_(&quot;$&quot;* #,##0.00_);_(&quot;$&quot;* \(#,##0.00\);_(&quot;$&quot;* &quot;-&quot;??_);_(@_)"/>
    <numFmt numFmtId="166" formatCode="0.0%"/>
    <numFmt numFmtId="167" formatCode="&quot;$&quot;#,##0.00"/>
  </numFmts>
  <fonts count="18">
    <font>
      <name val="Calibri"/>
      <family val="2"/>
      <color theme="1"/>
      <sz val="11"/>
      <scheme val="minor"/>
    </font>
    <font>
      <name val="Arial"/>
      <family val="2"/>
      <b val="1"/>
      <sz val="10"/>
    </font>
    <font>
      <name val="Arial"/>
      <family val="2"/>
      <sz val="10"/>
    </font>
    <font>
      <name val="Calibri"/>
      <family val="2"/>
      <color rgb="FF000000"/>
      <sz val="11"/>
      <scheme val="minor"/>
    </font>
    <font>
      <name val="Times New Roman"/>
      <family val="1"/>
      <color rgb="FF000000"/>
      <sz val="12"/>
    </font>
    <font>
      <name val="Arial Narrow"/>
      <family val="2"/>
      <color rgb="FF000000"/>
      <sz val="8"/>
    </font>
    <font>
      <name val="Arial Narrow"/>
      <family val="2"/>
      <i val="1"/>
      <color rgb="FF000000"/>
      <sz val="8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color indexed="8"/>
      <sz val="10"/>
    </font>
    <font>
      <name val="ARIAL"/>
      <family val="2"/>
      <b val="1"/>
      <color indexed="8"/>
      <sz val="10"/>
    </font>
    <font>
      <name val="Arial Narrow"/>
      <family val="2"/>
      <color theme="1"/>
      <sz val="11"/>
    </font>
    <font>
      <name val="Arial Narrow"/>
      <family val="2"/>
      <b val="1"/>
      <sz val="11"/>
    </font>
    <font>
      <name val="Arial Narrow"/>
      <family val="2"/>
      <sz val="11"/>
    </font>
    <font>
      <name val="Arial Narrow"/>
      <family val="2"/>
      <color indexed="8"/>
      <sz val="11"/>
    </font>
    <font>
      <name val="Arial Narrow"/>
      <family val="2"/>
      <color rgb="FF000000"/>
      <sz val="11"/>
    </font>
    <font>
      <name val="Arial Narrow"/>
      <family val="2"/>
      <b val="1"/>
      <color theme="1"/>
      <sz val="11"/>
    </font>
    <font>
      <name val="Arial Narrow"/>
      <family val="2"/>
      <b val="1"/>
      <color indexed="8"/>
      <sz val="11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9">
    <xf numFmtId="0" fontId="7" fillId="0" borderId="0"/>
    <xf numFmtId="9" fontId="7" fillId="0" borderId="0"/>
    <xf numFmtId="0" fontId="7" fillId="0" borderId="0"/>
    <xf numFmtId="0" fontId="9" fillId="0" borderId="0" applyAlignment="1">
      <alignment vertical="top"/>
    </xf>
    <xf numFmtId="165" fontId="7" fillId="0" borderId="0"/>
    <xf numFmtId="0" fontId="7" fillId="0" borderId="0"/>
    <xf numFmtId="165" fontId="7" fillId="0" borderId="0"/>
    <xf numFmtId="165" fontId="9" fillId="0" borderId="0" applyAlignment="1">
      <alignment vertical="top"/>
    </xf>
    <xf numFmtId="0" fontId="7" fillId="0" borderId="0"/>
  </cellStyleXfs>
  <cellXfs count="97">
    <xf numFmtId="0" fontId="0" fillId="0" borderId="0" pivotButton="0" quotePrefix="0" xfId="0"/>
    <xf numFmtId="0" fontId="3" fillId="0" borderId="0" applyAlignment="1" pivotButton="0" quotePrefix="0" xfId="0">
      <alignment horizontal="center"/>
    </xf>
    <xf numFmtId="2" fontId="0" fillId="0" borderId="0" pivotButton="0" quotePrefix="0" xfId="0"/>
    <xf numFmtId="0" fontId="4" fillId="0" borderId="0" applyAlignment="1" pivotButton="0" quotePrefix="0" xfId="0">
      <alignment vertical="top"/>
    </xf>
    <xf numFmtId="0" fontId="5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2" fillId="0" borderId="0" applyAlignment="1" pivotButton="0" quotePrefix="0" xfId="0">
      <alignment wrapText="1"/>
    </xf>
    <xf numFmtId="2" fontId="1" fillId="0" borderId="0" applyAlignment="1" pivotButton="0" quotePrefix="0" xfId="1">
      <alignment horizontal="center"/>
    </xf>
    <xf numFmtId="0" fontId="1" fillId="0" borderId="0" applyAlignment="1" pivotButton="0" quotePrefix="0" xfId="0">
      <alignment wrapText="1"/>
    </xf>
    <xf numFmtId="0" fontId="3" fillId="0" borderId="0" pivotButton="0" quotePrefix="0" xfId="0"/>
    <xf numFmtId="164" fontId="2" fillId="0" borderId="0" pivotButton="0" quotePrefix="0" xfId="0"/>
    <xf numFmtId="164" fontId="1" fillId="0" borderId="0" applyAlignment="1" pivotButton="0" quotePrefix="0" xfId="0">
      <alignment horizontal="center" wrapText="1"/>
    </xf>
    <xf numFmtId="164" fontId="0" fillId="0" borderId="0" pivotButton="0" quotePrefix="0" xfId="0"/>
    <xf numFmtId="164" fontId="3" fillId="0" borderId="0" pivotButton="0" quotePrefix="0" xfId="0"/>
    <xf numFmtId="0" fontId="2" fillId="0" borderId="0" applyAlignment="1" pivotButton="0" quotePrefix="0" xfId="1">
      <alignment horizontal="center"/>
    </xf>
    <xf numFmtId="0" fontId="0" fillId="0" borderId="0" pivotButton="0" quotePrefix="0" xfId="1"/>
    <xf numFmtId="0" fontId="1" fillId="0" borderId="0" applyAlignment="1" pivotButton="0" quotePrefix="0" xfId="1">
      <alignment horizontal="center" wrapText="1"/>
    </xf>
    <xf numFmtId="0" fontId="0" fillId="0" borderId="0" pivotButton="0" quotePrefix="0" xfId="1"/>
    <xf numFmtId="0" fontId="4" fillId="0" borderId="0" applyAlignment="1" pivotButton="0" quotePrefix="0" xfId="0">
      <alignment horizontal="center"/>
    </xf>
    <xf numFmtId="0" fontId="0" fillId="0" borderId="0" applyAlignment="1" applyProtection="1" pivotButton="0" quotePrefix="0" xfId="0">
      <alignment vertical="top"/>
      <protection locked="0" hidden="0"/>
    </xf>
    <xf numFmtId="0" fontId="10" fillId="0" borderId="0" applyAlignment="1" applyProtection="1" pivotButton="0" quotePrefix="0" xfId="0">
      <alignment vertical="top"/>
      <protection locked="0" hidden="0"/>
    </xf>
    <xf numFmtId="0" fontId="10" fillId="0" borderId="0" applyAlignment="1" applyProtection="1" pivotButton="0" quotePrefix="0" xfId="0">
      <alignment horizontal="right" vertical="top"/>
      <protection locked="0" hidden="0"/>
    </xf>
    <xf numFmtId="0" fontId="10" fillId="0" borderId="2" applyAlignment="1" applyProtection="1" pivotButton="0" quotePrefix="0" xfId="0">
      <alignment vertical="top"/>
      <protection locked="0" hidden="0"/>
    </xf>
    <xf numFmtId="0" fontId="11" fillId="0" borderId="0" pivotButton="0" quotePrefix="0" xfId="0"/>
    <xf numFmtId="2" fontId="11" fillId="0" borderId="0" pivotButton="0" quotePrefix="0" xfId="0"/>
    <xf numFmtId="0" fontId="12" fillId="0" borderId="0" pivotButton="0" quotePrefix="0" xfId="2"/>
    <xf numFmtId="0" fontId="12" fillId="0" borderId="0" applyAlignment="1" pivotButton="0" quotePrefix="0" xfId="2">
      <alignment wrapText="1"/>
    </xf>
    <xf numFmtId="0" fontId="13" fillId="0" borderId="0" pivotButton="0" quotePrefix="0" xfId="2"/>
    <xf numFmtId="0" fontId="14" fillId="0" borderId="0" applyAlignment="1" pivotButton="0" quotePrefix="0" xfId="3">
      <alignment vertical="top"/>
    </xf>
    <xf numFmtId="0" fontId="15" fillId="0" borderId="0" applyAlignment="1" pivotButton="0" quotePrefix="0" xfId="0">
      <alignment horizontal="left"/>
    </xf>
    <xf numFmtId="165" fontId="13" fillId="0" borderId="0" pivotButton="0" quotePrefix="0" xfId="4"/>
    <xf numFmtId="165" fontId="13" fillId="0" borderId="0" pivotButton="0" quotePrefix="0" xfId="4"/>
    <xf numFmtId="165" fontId="13" fillId="0" borderId="0" pivotButton="0" quotePrefix="0" xfId="4"/>
    <xf numFmtId="165" fontId="13" fillId="0" borderId="1" applyAlignment="1" pivotButton="0" quotePrefix="0" xfId="4">
      <alignment vertical="center"/>
    </xf>
    <xf numFmtId="0" fontId="13" fillId="0" borderId="0" pivotButton="0" quotePrefix="0" xfId="0"/>
    <xf numFmtId="0" fontId="15" fillId="0" borderId="0" pivotButton="0" quotePrefix="0" xfId="0"/>
    <xf numFmtId="165" fontId="13" fillId="0" borderId="1" pivotButton="0" quotePrefix="0" xfId="4"/>
    <xf numFmtId="164" fontId="11" fillId="2" borderId="0" pivotButton="0" quotePrefix="0" xfId="0"/>
    <xf numFmtId="0" fontId="13" fillId="0" borderId="0" pivotButton="0" quotePrefix="0" xfId="5"/>
    <xf numFmtId="0" fontId="11" fillId="0" borderId="0" pivotButton="0" quotePrefix="0" xfId="5"/>
    <xf numFmtId="165" fontId="13" fillId="0" borderId="0" pivotButton="0" quotePrefix="0" xfId="6"/>
    <xf numFmtId="165" fontId="13" fillId="0" borderId="0" pivotButton="0" quotePrefix="0" xfId="6"/>
    <xf numFmtId="165" fontId="13" fillId="0" borderId="1" pivotButton="0" quotePrefix="0" xfId="6"/>
    <xf numFmtId="0" fontId="12" fillId="0" borderId="0" pivotButton="0" quotePrefix="0" xfId="5"/>
    <xf numFmtId="0" fontId="16" fillId="0" borderId="0" pivotButton="0" quotePrefix="0" xfId="5"/>
    <xf numFmtId="165" fontId="12" fillId="3" borderId="0" pivotButton="0" quotePrefix="0" xfId="6"/>
    <xf numFmtId="165" fontId="11" fillId="0" borderId="0" pivotButton="0" quotePrefix="0" xfId="5"/>
    <xf numFmtId="165" fontId="11" fillId="0" borderId="1" pivotButton="0" quotePrefix="0" xfId="5"/>
    <xf numFmtId="165" fontId="16" fillId="0" borderId="0" pivotButton="0" quotePrefix="0" xfId="7"/>
    <xf numFmtId="165" fontId="16" fillId="0" borderId="0" pivotButton="0" quotePrefix="0" xfId="5"/>
    <xf numFmtId="0" fontId="13" fillId="0" borderId="0" pivotButton="0" quotePrefix="0" xfId="8"/>
    <xf numFmtId="0" fontId="11" fillId="0" borderId="0" pivotButton="0" quotePrefix="0" xfId="2"/>
    <xf numFmtId="165" fontId="13" fillId="0" borderId="1" pivotButton="0" quotePrefix="0" xfId="4"/>
    <xf numFmtId="165" fontId="13" fillId="0" borderId="0" applyAlignment="1" pivotButton="0" quotePrefix="0" xfId="4">
      <alignment vertical="center"/>
    </xf>
    <xf numFmtId="165" fontId="11" fillId="2" borderId="0" pivotButton="0" quotePrefix="0" xfId="2"/>
    <xf numFmtId="0" fontId="11" fillId="0" borderId="0" applyAlignment="1" applyProtection="1" pivotButton="0" quotePrefix="0" xfId="0">
      <alignment vertical="top"/>
      <protection locked="0" hidden="0"/>
    </xf>
    <xf numFmtId="0" fontId="17" fillId="0" borderId="0" applyAlignment="1" applyProtection="1" pivotButton="0" quotePrefix="0" xfId="0">
      <alignment vertical="top"/>
      <protection locked="0" hidden="0"/>
    </xf>
    <xf numFmtId="0" fontId="14" fillId="0" borderId="0" applyAlignment="1" applyProtection="1" pivotButton="0" quotePrefix="0" xfId="0">
      <alignment vertical="top"/>
      <protection locked="0" hidden="0"/>
    </xf>
    <xf numFmtId="164" fontId="0" fillId="0" borderId="0" applyAlignment="1" applyProtection="1" pivotButton="0" quotePrefix="0" xfId="0">
      <alignment vertical="top"/>
      <protection locked="0" hidden="0"/>
    </xf>
    <xf numFmtId="164" fontId="10" fillId="0" borderId="0" applyAlignment="1" applyProtection="1" pivotButton="0" quotePrefix="0" xfId="0">
      <alignment vertical="top"/>
      <protection locked="0" hidden="0"/>
    </xf>
    <xf numFmtId="164" fontId="10" fillId="0" borderId="2" applyAlignment="1" applyProtection="1" pivotButton="0" quotePrefix="0" xfId="0">
      <alignment vertical="top"/>
      <protection locked="0" hidden="0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5" fillId="0" borderId="0" applyAlignment="1" pivotButton="0" quotePrefix="0" xfId="0">
      <alignment horizontal="right" vertical="top"/>
    </xf>
    <xf numFmtId="0" fontId="6" fillId="0" borderId="0" applyAlignment="1" pivotButton="0" quotePrefix="0" xfId="0">
      <alignment horizontal="right" vertical="top"/>
    </xf>
    <xf numFmtId="0" fontId="4" fillId="0" borderId="0" applyAlignment="1" pivotButton="0" quotePrefix="0" xfId="0">
      <alignment horizontal="center"/>
    </xf>
    <xf numFmtId="0" fontId="12" fillId="0" borderId="0" applyAlignment="1" pivotButton="0" quotePrefix="0" xfId="5">
      <alignment horizontal="center"/>
    </xf>
    <xf numFmtId="0" fontId="16" fillId="0" borderId="0" applyAlignment="1" pivotButton="0" quotePrefix="0" xfId="5">
      <alignment horizontal="center"/>
    </xf>
    <xf numFmtId="0" fontId="16" fillId="0" borderId="0" applyAlignment="1" pivotButton="0" quotePrefix="0" xfId="8">
      <alignment horizontal="center"/>
    </xf>
    <xf numFmtId="0" fontId="1" fillId="0" borderId="0" applyAlignment="1" pivotButton="0" quotePrefix="0" xfId="0">
      <alignment horizontal="center"/>
    </xf>
    <xf numFmtId="164" fontId="1" fillId="0" borderId="0" applyAlignment="1" pivotButton="0" quotePrefix="0" xfId="0">
      <alignment horizontal="center" wrapText="1"/>
    </xf>
    <xf numFmtId="0" fontId="1" fillId="0" borderId="0" applyAlignment="1" pivotButton="0" quotePrefix="0" xfId="0">
      <alignment horizontal="center" wrapText="1"/>
    </xf>
    <xf numFmtId="0" fontId="2" fillId="0" borderId="0" pivotButton="0" quotePrefix="0" xfId="0"/>
    <xf numFmtId="0" fontId="8" fillId="0" borderId="0" applyAlignment="1" pivotButton="0" quotePrefix="0" xfId="0">
      <alignment horizontal="center"/>
    </xf>
    <xf numFmtId="165" fontId="13" fillId="0" borderId="0" pivotButton="0" quotePrefix="0" xfId="4"/>
    <xf numFmtId="165" fontId="13" fillId="0" borderId="1" applyAlignment="1" pivotButton="0" quotePrefix="0" xfId="4">
      <alignment vertical="center"/>
    </xf>
    <xf numFmtId="165" fontId="13" fillId="0" borderId="1" pivotButton="0" quotePrefix="0" xfId="4"/>
    <xf numFmtId="164" fontId="11" fillId="2" borderId="0" pivotButton="0" quotePrefix="0" xfId="0"/>
    <xf numFmtId="165" fontId="13" fillId="0" borderId="0" pivotButton="0" quotePrefix="0" xfId="6"/>
    <xf numFmtId="165" fontId="13" fillId="0" borderId="1" pivotButton="0" quotePrefix="0" xfId="6"/>
    <xf numFmtId="165" fontId="12" fillId="3" borderId="0" pivotButton="0" quotePrefix="0" xfId="6"/>
    <xf numFmtId="165" fontId="11" fillId="0" borderId="0" pivotButton="0" quotePrefix="0" xfId="5"/>
    <xf numFmtId="165" fontId="11" fillId="0" borderId="1" pivotButton="0" quotePrefix="0" xfId="5"/>
    <xf numFmtId="165" fontId="16" fillId="0" borderId="0" pivotButton="0" quotePrefix="0" xfId="7"/>
    <xf numFmtId="165" fontId="16" fillId="0" borderId="0" pivotButton="0" quotePrefix="0" xfId="5"/>
    <xf numFmtId="165" fontId="13" fillId="0" borderId="0" applyAlignment="1" pivotButton="0" quotePrefix="0" xfId="4">
      <alignment vertical="center"/>
    </xf>
    <xf numFmtId="165" fontId="11" fillId="2" borderId="0" pivotButton="0" quotePrefix="0" xfId="2"/>
    <xf numFmtId="164" fontId="0" fillId="0" borderId="0" pivotButton="0" quotePrefix="0" xfId="0"/>
    <xf numFmtId="164" fontId="2" fillId="0" borderId="0" pivotButton="0" quotePrefix="0" xfId="0"/>
    <xf numFmtId="164" fontId="1" fillId="0" borderId="0" applyAlignment="1" pivotButton="0" quotePrefix="0" xfId="0">
      <alignment horizontal="center" wrapText="1"/>
    </xf>
    <xf numFmtId="166" fontId="0" fillId="0" borderId="0" pivotButton="0" quotePrefix="0" xfId="0"/>
    <xf numFmtId="164" fontId="3" fillId="0" borderId="0" pivotButton="0" quotePrefix="0" xfId="0"/>
    <xf numFmtId="164" fontId="0" fillId="0" borderId="0" applyAlignment="1" applyProtection="1" pivotButton="0" quotePrefix="0" xfId="0">
      <alignment vertical="top"/>
      <protection locked="0" hidden="0"/>
    </xf>
    <xf numFmtId="167" fontId="10" fillId="0" borderId="0" applyAlignment="1" applyProtection="1" pivotButton="0" quotePrefix="0" xfId="0">
      <alignment vertical="top"/>
      <protection locked="0" hidden="0"/>
    </xf>
    <xf numFmtId="164" fontId="10" fillId="0" borderId="2" applyAlignment="1" applyProtection="1" pivotButton="0" quotePrefix="0" xfId="0">
      <alignment vertical="top"/>
      <protection locked="0" hidden="0"/>
    </xf>
  </cellXfs>
  <cellStyles count="9">
    <cellStyle name="Normal" xfId="0" builtinId="0"/>
    <cellStyle name="Percent" xfId="1" builtinId="5"/>
    <cellStyle name="Normal 3 2" xfId="2"/>
    <cellStyle name="Normal 2" xfId="3"/>
    <cellStyle name="Currency 2 2" xfId="4"/>
    <cellStyle name="Normal 3 2 3 2" xfId="5"/>
    <cellStyle name="Currency 2 2 2 2" xfId="6"/>
    <cellStyle name="Currency 2" xfId="7"/>
    <cellStyle name="Normal 3 2 2 2" xf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95250</colOff>
      <row>0</row>
      <rowOff>47625</rowOff>
    </from>
    <ext cx="7541067" cy="885825"/>
    <pic>
      <nvPicPr>
        <cNvPr id="2" name="Picture 2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95250" y="47625"/>
          <a:ext cx="7541067" cy="885825"/>
        </a:xfrm>
        <a:prstGeom prst="rect">
          <avLst/>
        </a:prstGeom>
        <a:ln>
          <a:prstDash val="solid"/>
        </a:ln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95250</colOff>
      <row>0</row>
      <rowOff>47625</rowOff>
    </from>
    <ext cx="9324975" cy="1095375"/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95250" y="47625"/>
          <a:ext cx="9324975" cy="1095375"/>
        </a:xfrm>
        <a:prstGeom prst="rect">
          <avLst/>
        </a:prstGeom>
        <a:ln>
          <a:prstDash val="solid"/>
        </a:ln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95250</colOff>
      <row>0</row>
      <rowOff>47625</rowOff>
    </from>
    <ext cx="9324975" cy="1095375"/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95250" y="47625"/>
          <a:ext cx="9324975" cy="1095375"/>
        </a:xfrm>
        <a:prstGeom prst="rect">
          <avLst/>
        </a:prstGeom>
        <a:ln>
          <a:prstDash val="solid"/>
        </a:ln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95250</colOff>
      <row>0</row>
      <rowOff>47625</rowOff>
    </from>
    <ext cx="9324975" cy="1095375"/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95250" y="47625"/>
          <a:ext cx="9324975" cy="1095375"/>
        </a:xfrm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zoomScale="98" zoomScaleNormal="98" workbookViewId="0">
      <selection activeCell="G19" sqref="G19"/>
    </sheetView>
  </sheetViews>
  <sheetFormatPr baseColWidth="8" defaultRowHeight="15"/>
  <cols>
    <col width="24.85546875" customWidth="1" min="1" max="1"/>
    <col width="29.85546875" customWidth="1" min="2" max="2"/>
    <col width="13.28515625" customWidth="1" style="2" min="3" max="3"/>
    <col width="17.5703125" customWidth="1" min="4" max="4"/>
    <col width="15.85546875" customWidth="1" min="5" max="5"/>
    <col width="11.140625" customWidth="1" min="6" max="6"/>
    <col width="7.42578125" customWidth="1" min="7" max="7"/>
  </cols>
  <sheetData>
    <row r="1">
      <c r="A1" s="63" t="n"/>
      <c r="E1" s="11" t="n"/>
      <c r="F1" s="11" t="n"/>
      <c r="G1" s="11" t="n"/>
    </row>
    <row r="2" ht="15.75" customHeight="1">
      <c r="E2" s="64" t="n"/>
    </row>
    <row r="3" ht="15.75" customHeight="1">
      <c r="E3" s="65" t="n"/>
    </row>
    <row r="4" ht="15.75" customHeight="1">
      <c r="E4" s="64" t="n"/>
    </row>
    <row r="5" ht="15.75" customHeight="1">
      <c r="E5" s="66" t="n"/>
    </row>
    <row r="6" ht="15.75" customHeight="1">
      <c r="E6" s="63" t="n"/>
    </row>
    <row r="7" ht="15.75" customHeight="1">
      <c r="A7" s="3" t="inlineStr">
        <is>
          <t>Matthew D. Bessine</t>
        </is>
      </c>
      <c r="B7" s="67" t="inlineStr">
        <is>
          <t>2900 NE 60th St, Ste 150</t>
        </is>
      </c>
      <c r="E7" s="64" t="inlineStr">
        <is>
          <t>Adam K. Berman</t>
        </is>
      </c>
    </row>
    <row r="8" ht="15.75" customHeight="1">
      <c r="A8" s="4" t="inlineStr">
        <is>
          <t>Missouri, Kansas, Iowa</t>
        </is>
      </c>
      <c r="B8" s="67" t="inlineStr">
        <is>
          <t>Kansas City MO 64119</t>
        </is>
      </c>
      <c r="E8" s="65" t="inlineStr">
        <is>
          <t>Of Counsel, Missouri, Kansas</t>
        </is>
      </c>
    </row>
    <row r="9" ht="15.75" customHeight="1">
      <c r="A9" s="5" t="inlineStr">
        <is>
          <t>Scott F. Walterbach</t>
        </is>
      </c>
      <c r="B9" s="67" t="inlineStr">
        <is>
          <t>Phone [816] 601-1100</t>
        </is>
      </c>
      <c r="E9" s="64" t="n"/>
    </row>
    <row r="10" ht="15.75" customHeight="1">
      <c r="A10" s="4" t="n"/>
      <c r="B10" s="67" t="inlineStr">
        <is>
          <t>Fax [816] 601-1101</t>
        </is>
      </c>
      <c r="E10" s="66" t="n"/>
    </row>
    <row r="11" ht="15.75" customHeight="1">
      <c r="A11" s="63" t="n"/>
      <c r="B11" s="67" t="inlineStr">
        <is>
          <t>admin@bw-llp.com</t>
        </is>
      </c>
      <c r="E11" s="63" t="n"/>
    </row>
    <row r="12" ht="15.75" customHeight="1">
      <c r="A12" s="63" t="n"/>
      <c r="B12" s="67" t="inlineStr">
        <is>
          <t>www.bw-llp.com</t>
        </is>
      </c>
      <c r="E12" s="63" t="n"/>
    </row>
    <row r="13" ht="15.75" customHeight="1">
      <c r="A13" s="63" t="n"/>
      <c r="B13" s="67" t="n"/>
      <c r="C13" s="67" t="n"/>
      <c r="D13" s="67" t="n"/>
      <c r="E13" s="63" t="n"/>
      <c r="F13" s="63" t="n"/>
      <c r="G13" s="63" t="n"/>
    </row>
    <row r="14" ht="16.5" customFormat="1" customHeight="1" s="25">
      <c r="C14" s="26" t="n"/>
    </row>
    <row r="15" ht="16.5" customFormat="1" customHeight="1" s="25">
      <c r="A15" s="27" t="inlineStr">
        <is>
          <t>CONSUMER COLLECTION MANAGEMENT, INC. 2</t>
        </is>
      </c>
      <c r="B15" s="28" t="n"/>
      <c r="C15" s="29" t="n"/>
      <c r="D15" s="30" t="n"/>
      <c r="E15" s="30" t="n"/>
      <c r="F15" s="30" t="n"/>
      <c r="G15" s="30" t="n"/>
    </row>
    <row r="16" ht="16.5" customFormat="1" customHeight="1" s="25">
      <c r="A16" s="31" t="inlineStr">
        <is>
          <t>P.O. Box 34497</t>
        </is>
      </c>
      <c r="B16" s="28" t="n"/>
      <c r="C16" s="29" t="n"/>
      <c r="D16" s="30" t="n"/>
      <c r="E16" s="30" t="n"/>
      <c r="F16" s="30" t="n"/>
      <c r="G16" s="30" t="n"/>
    </row>
    <row r="17" ht="16.5" customFormat="1" customHeight="1" s="25">
      <c r="A17" s="31" t="inlineStr">
        <is>
          <t>North Kansas City, MO  64116</t>
        </is>
      </c>
      <c r="B17" s="28" t="n"/>
      <c r="C17" s="29" t="n"/>
      <c r="D17" s="30" t="n"/>
      <c r="E17" s="30" t="n"/>
      <c r="F17" s="30" t="n"/>
      <c r="G17" s="30" t="n"/>
    </row>
    <row r="18" ht="16.5" customFormat="1" customHeight="1" s="25">
      <c r="A18" s="31" t="n"/>
      <c r="B18" s="28" t="n"/>
      <c r="C18" s="29" t="n"/>
      <c r="D18" s="30" t="n"/>
      <c r="E18" s="30" t="n"/>
      <c r="F18" s="30" t="n"/>
      <c r="G18" s="30" t="n"/>
    </row>
    <row r="19" ht="16.5" customFormat="1" customHeight="1" s="25">
      <c r="A19" s="27" t="n"/>
      <c r="B19" s="28" t="n"/>
      <c r="C19" s="29" t="n"/>
      <c r="D19" s="30" t="n"/>
      <c r="E19" s="30" t="n"/>
      <c r="F19" s="30" t="n"/>
      <c r="G19" s="30" t="n"/>
    </row>
    <row r="20" ht="16.5" customFormat="1" customHeight="1" s="25">
      <c r="A20" s="27" t="inlineStr">
        <is>
          <t>Statement Thru 10-19-2026</t>
        </is>
      </c>
      <c r="B20" s="27" t="n"/>
      <c r="C20" s="76" t="n"/>
      <c r="D20" s="30" t="n"/>
      <c r="E20" s="30" t="n"/>
      <c r="F20" s="30" t="n"/>
      <c r="G20" s="30" t="n"/>
    </row>
    <row r="21" ht="16.5" customFormat="1" customHeight="1" s="25">
      <c r="A21" s="29" t="n"/>
      <c r="B21" s="29" t="n"/>
      <c r="C21" s="76" t="n"/>
      <c r="D21" s="30" t="n"/>
      <c r="E21" s="30" t="n"/>
      <c r="F21" s="30" t="n"/>
      <c r="G21" s="30" t="n"/>
    </row>
    <row r="22" ht="16.5" customFormat="1" customHeight="1" s="25">
      <c r="A22" s="29" t="n"/>
      <c r="B22" s="29" t="n"/>
      <c r="C22" s="76" t="n"/>
      <c r="D22" s="30" t="n"/>
      <c r="E22" s="30" t="n"/>
      <c r="F22" s="30" t="n"/>
      <c r="G22" s="30" t="n"/>
    </row>
    <row r="23" ht="16.5" customFormat="1" customHeight="1" s="25">
      <c r="A23" s="29" t="inlineStr">
        <is>
          <t>Defendant Payments</t>
        </is>
      </c>
      <c r="B23" s="29" t="n"/>
      <c r="C23" s="30" t="n"/>
      <c r="D23" s="76">
        <f>Payments!E5</f>
        <v/>
      </c>
      <c r="E23" s="30" t="n"/>
      <c r="F23" s="30" t="n"/>
      <c r="G23" s="30" t="n"/>
    </row>
    <row r="24" ht="16.5" customFormat="1" customHeight="1" s="25">
      <c r="A24" s="29" t="inlineStr">
        <is>
          <t>Plus - Costs Returned by Defendant</t>
        </is>
      </c>
      <c r="B24" s="29" t="n"/>
      <c r="C24" s="30" t="n"/>
      <c r="D24" s="76">
        <f>Payments!F5</f>
        <v/>
      </c>
      <c r="E24" s="30" t="n"/>
      <c r="F24" s="30" t="n"/>
      <c r="G24" s="30" t="n"/>
    </row>
    <row r="25" ht="16.5" customFormat="1" customHeight="1" s="25">
      <c r="A25" s="29" t="inlineStr">
        <is>
          <t>Less - BW LLP Share</t>
        </is>
      </c>
      <c r="B25" s="29" t="n"/>
      <c r="C25" s="30" t="n"/>
      <c r="D25" s="76">
        <f>-Payments!H5</f>
        <v/>
      </c>
      <c r="E25" s="30" t="n"/>
      <c r="F25" s="30" t="n"/>
      <c r="G25" s="30" t="n"/>
    </row>
    <row r="26" ht="16.5" customFormat="1" customHeight="1" s="25">
      <c r="A26" s="29" t="inlineStr">
        <is>
          <t>Less - New Costs Advanced by BW LLP</t>
        </is>
      </c>
      <c r="B26" s="29" t="n"/>
      <c r="C26" s="30" t="n"/>
      <c r="D26" s="76">
        <f>-Cost!D5</f>
        <v/>
      </c>
      <c r="E26" s="30" t="n"/>
      <c r="F26" s="30" t="n"/>
      <c r="G26" s="30" t="n"/>
    </row>
    <row r="27" ht="16.5" customFormat="1" customHeight="1" s="25">
      <c r="A27" s="29" t="inlineStr">
        <is>
          <t>Less - Commission on Direct Payments</t>
        </is>
      </c>
      <c r="B27" s="29" t="n"/>
      <c r="C27" s="30" t="n"/>
      <c r="D27" s="77" t="n">
        <v>0</v>
      </c>
      <c r="E27" s="30" t="n"/>
      <c r="F27" s="30" t="n"/>
      <c r="G27" s="30" t="n"/>
    </row>
    <row r="28" ht="16.5" customFormat="1" customHeight="1" s="25">
      <c r="A28" s="29" t="inlineStr">
        <is>
          <t>Net Cash Distribution</t>
        </is>
      </c>
      <c r="B28" s="29" t="n"/>
      <c r="C28" s="30" t="n"/>
      <c r="D28" s="76">
        <f>SUM(D23:D27)</f>
        <v/>
      </c>
      <c r="E28" s="36" t="n"/>
    </row>
    <row r="29" ht="16.5" customFormat="1" customHeight="1" s="25">
      <c r="A29" s="36" t="n"/>
      <c r="B29" s="36" t="n"/>
      <c r="C29" s="36" t="n"/>
      <c r="D29" s="36" t="n"/>
      <c r="E29" s="36" t="n"/>
    </row>
    <row r="30" ht="16.5" customFormat="1" customHeight="1" s="25">
      <c r="C30" s="26" t="n"/>
    </row>
    <row r="31" ht="16.5" customFormat="1" customHeight="1" s="25">
      <c r="C31" s="26" t="n"/>
    </row>
    <row r="32" ht="16.5" customFormat="1" customHeight="1" s="25">
      <c r="C32" s="26" t="n"/>
    </row>
    <row r="33" ht="16.5" customFormat="1" customHeight="1" s="25">
      <c r="C33" s="26" t="n"/>
    </row>
    <row r="34" ht="16.5" customFormat="1" customHeight="1" s="25">
      <c r="C34" s="26" t="n"/>
    </row>
  </sheetData>
  <mergeCells count="18">
    <mergeCell ref="B10:D10"/>
    <mergeCell ref="B11:D11"/>
    <mergeCell ref="E10:G10"/>
    <mergeCell ref="E2:G2"/>
    <mergeCell ref="E11:G11"/>
    <mergeCell ref="E5:G5"/>
    <mergeCell ref="B8:D8"/>
    <mergeCell ref="E8:G8"/>
    <mergeCell ref="A1:D6"/>
    <mergeCell ref="B9:D9"/>
    <mergeCell ref="E12:G12"/>
    <mergeCell ref="E9:G9"/>
    <mergeCell ref="E4:G4"/>
    <mergeCell ref="E3:G3"/>
    <mergeCell ref="B12:D12"/>
    <mergeCell ref="B7:D7"/>
    <mergeCell ref="E7:G7"/>
    <mergeCell ref="E6:G6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D29" sqref="D29"/>
    </sheetView>
  </sheetViews>
  <sheetFormatPr baseColWidth="8" defaultColWidth="26.42578125" defaultRowHeight="15"/>
  <cols>
    <col width="26.42578125" customWidth="1" min="3" max="4"/>
    <col width="7.42578125" customWidth="1" min="5" max="5"/>
    <col width="4.140625" customWidth="1" min="6" max="6"/>
  </cols>
  <sheetData>
    <row r="1">
      <c r="A1" s="63" t="n"/>
      <c r="E1" s="11" t="n"/>
      <c r="F1" s="11" t="n"/>
      <c r="G1" s="11" t="n"/>
    </row>
    <row r="2" ht="15.75" customHeight="1">
      <c r="E2" s="64" t="n"/>
    </row>
    <row r="3">
      <c r="E3" s="65" t="n"/>
    </row>
    <row r="4" ht="15.75" customHeight="1">
      <c r="E4" s="64" t="n"/>
    </row>
    <row r="5">
      <c r="E5" s="66" t="n"/>
    </row>
    <row r="6">
      <c r="E6" s="63" t="n"/>
    </row>
    <row r="7" ht="15.75" customHeight="1">
      <c r="A7" s="3" t="inlineStr">
        <is>
          <t>Matthew D. Bessine</t>
        </is>
      </c>
      <c r="B7" s="67" t="inlineStr">
        <is>
          <t>2900 NE 60th St, Ste 150</t>
        </is>
      </c>
      <c r="E7" s="64" t="inlineStr">
        <is>
          <t>Adam K. Berman</t>
        </is>
      </c>
    </row>
    <row r="8" ht="15.75" customHeight="1">
      <c r="A8" s="4" t="inlineStr">
        <is>
          <t>Missouri, Kansas, Iowa</t>
        </is>
      </c>
      <c r="B8" s="67" t="inlineStr">
        <is>
          <t>Kansas City MO 64119</t>
        </is>
      </c>
      <c r="E8" s="65" t="inlineStr">
        <is>
          <t>Of Counsel, Missouri, Kansas</t>
        </is>
      </c>
    </row>
    <row r="9" ht="15.75" customHeight="1">
      <c r="A9" s="5" t="inlineStr">
        <is>
          <t>Scott F. Walterbach</t>
        </is>
      </c>
      <c r="B9" s="67" t="inlineStr">
        <is>
          <t>Phone [816] 601-1100</t>
        </is>
      </c>
      <c r="E9" s="64" t="n"/>
    </row>
    <row r="10" ht="15.75" customHeight="1">
      <c r="A10" s="4" t="inlineStr">
        <is>
          <t>Missouri, Kansas</t>
        </is>
      </c>
      <c r="B10" s="67" t="inlineStr">
        <is>
          <t>Fax [816] 601-1101</t>
        </is>
      </c>
      <c r="E10" s="66" t="n"/>
    </row>
    <row r="11" ht="15.75" customHeight="1">
      <c r="A11" s="63" t="n"/>
      <c r="B11" s="67" t="inlineStr">
        <is>
          <t>admin@bw-llp.com</t>
        </is>
      </c>
      <c r="E11" s="63" t="n"/>
    </row>
    <row r="12" ht="15.75" customHeight="1">
      <c r="A12" s="63" t="n"/>
      <c r="B12" s="67" t="inlineStr">
        <is>
          <t>www.bw-llp.com</t>
        </is>
      </c>
      <c r="E12" s="63" t="n"/>
    </row>
    <row r="13" ht="16.5" customFormat="1" customHeight="1" s="25"/>
    <row r="14" ht="16.5" customFormat="1" customHeight="1" s="25">
      <c r="C14" s="26" t="n"/>
      <c r="F14" s="37" t="n"/>
      <c r="G14" s="37" t="n"/>
    </row>
    <row r="15" ht="16.5" customFormat="1" customHeight="1" s="25">
      <c r="A15" s="27" t="inlineStr">
        <is>
          <t>CONSUMER COLLECTION MANAGEMENT, INC. 2</t>
        </is>
      </c>
      <c r="B15" s="28" t="n"/>
      <c r="C15" s="29" t="n"/>
      <c r="D15" s="30" t="n"/>
      <c r="E15" s="30" t="n"/>
      <c r="F15" s="30" t="n"/>
      <c r="G15" s="30" t="n"/>
    </row>
    <row r="16" ht="16.5" customFormat="1" customHeight="1" s="25">
      <c r="A16" s="31" t="inlineStr">
        <is>
          <t>P.O. Box 34497</t>
        </is>
      </c>
      <c r="B16" s="28" t="n"/>
      <c r="C16" s="29" t="n"/>
      <c r="D16" s="30" t="n"/>
      <c r="E16" s="30" t="n"/>
      <c r="F16" s="30" t="n"/>
      <c r="G16" s="30" t="n"/>
    </row>
    <row r="17" ht="16.5" customFormat="1" customHeight="1" s="25">
      <c r="A17" s="31" t="inlineStr">
        <is>
          <t>North Kansas City, MO  64116</t>
        </is>
      </c>
      <c r="B17" s="28" t="n"/>
      <c r="C17" s="29" t="n"/>
      <c r="D17" s="30" t="n"/>
      <c r="E17" s="30" t="n"/>
      <c r="F17" s="30" t="n"/>
      <c r="G17" s="30" t="n"/>
    </row>
    <row r="18" ht="16.5" customFormat="1" customHeight="1" s="25">
      <c r="A18" s="31" t="n"/>
      <c r="B18" s="28" t="n"/>
      <c r="C18" s="29" t="n"/>
      <c r="D18" s="30" t="n"/>
      <c r="E18" s="30" t="n"/>
      <c r="F18" s="30" t="n"/>
      <c r="G18" s="30" t="n"/>
    </row>
    <row r="19" ht="16.5" customFormat="1" customHeight="1" s="25">
      <c r="A19" s="27" t="n"/>
      <c r="B19" s="28" t="n"/>
      <c r="C19" s="29" t="n"/>
      <c r="D19" s="30" t="n"/>
      <c r="E19" s="30" t="n"/>
      <c r="F19" s="30" t="n"/>
      <c r="G19" s="30" t="n"/>
    </row>
    <row r="20" ht="16.5" customFormat="1" customHeight="1" s="25">
      <c r="A20" s="27" t="inlineStr">
        <is>
          <t>Statement Thru 10-19-2026</t>
        </is>
      </c>
      <c r="B20" s="27" t="n"/>
      <c r="C20" s="76" t="n"/>
      <c r="D20" s="30" t="n"/>
      <c r="E20" s="30" t="n"/>
      <c r="F20" s="30" t="n"/>
      <c r="G20" s="30" t="n"/>
    </row>
    <row r="21" ht="16.5" customFormat="1" customHeight="1" s="25">
      <c r="A21" s="29" t="n"/>
      <c r="B21" s="29" t="n"/>
      <c r="C21" s="76" t="n"/>
      <c r="D21" s="30" t="n"/>
      <c r="E21" s="30" t="n"/>
      <c r="F21" s="30" t="n"/>
      <c r="G21" s="30" t="n"/>
    </row>
    <row r="22" ht="16.5" customFormat="1" customHeight="1" s="25">
      <c r="A22" s="29" t="n"/>
      <c r="B22" s="29" t="n"/>
      <c r="C22" s="76" t="n"/>
      <c r="D22" s="30" t="n"/>
      <c r="E22" s="30" t="n"/>
      <c r="F22" s="30" t="n"/>
      <c r="G22" s="30" t="n"/>
    </row>
    <row r="23" ht="16.5" customFormat="1" customHeight="1" s="25">
      <c r="A23" s="29" t="inlineStr">
        <is>
          <t>Defendant Payments</t>
        </is>
      </c>
      <c r="B23" s="29" t="n"/>
      <c r="C23" s="30" t="n"/>
      <c r="D23" s="76">
        <f>Payments!D5</f>
        <v/>
      </c>
      <c r="E23" s="30" t="n"/>
      <c r="F23" s="30" t="n"/>
      <c r="G23" s="30" t="n"/>
    </row>
    <row r="24" ht="16.5" customFormat="1" customHeight="1" s="25">
      <c r="A24" s="29" t="inlineStr">
        <is>
          <t>Plus - Costs Returned by Defendant</t>
        </is>
      </c>
      <c r="B24" s="29" t="n"/>
      <c r="C24" s="30" t="n"/>
      <c r="D24" s="76">
        <f>Payments!F5</f>
        <v/>
      </c>
      <c r="E24" s="30" t="n"/>
      <c r="F24" s="30" t="n"/>
      <c r="G24" s="30" t="n"/>
    </row>
    <row r="25" ht="16.5" customFormat="1" customHeight="1" s="25">
      <c r="A25" s="29" t="inlineStr">
        <is>
          <t>Less - BW LLP Share</t>
        </is>
      </c>
      <c r="B25" s="29" t="n"/>
      <c r="C25" s="30" t="n"/>
      <c r="D25" s="78">
        <f>-Payments!H5</f>
        <v/>
      </c>
      <c r="E25" s="30" t="n"/>
      <c r="F25" s="30" t="n"/>
      <c r="G25" s="30" t="n"/>
    </row>
    <row r="26" ht="16.5" customFormat="1" customHeight="1" s="25">
      <c r="A26" s="36" t="inlineStr">
        <is>
          <t>Net Cash Distribution</t>
        </is>
      </c>
      <c r="B26" s="29" t="n"/>
      <c r="C26" s="30" t="n"/>
      <c r="D26" s="76">
        <f>SUM(D23:D25)</f>
        <v/>
      </c>
      <c r="E26" s="30" t="n"/>
      <c r="F26" s="30" t="n"/>
      <c r="G26" s="30" t="n"/>
    </row>
    <row r="27" ht="16.5" customFormat="1" customHeight="1" s="25">
      <c r="A27" s="36" t="n"/>
    </row>
    <row r="28" ht="16.5" customFormat="1" customHeight="1" s="25">
      <c r="A28" s="25" t="inlineStr">
        <is>
          <t xml:space="preserve">Total Due for New Costs Advanced by BW LLP </t>
        </is>
      </c>
      <c r="D28" s="79">
        <f>Cost!D5</f>
        <v/>
      </c>
    </row>
    <row r="29" ht="16.5" customFormat="1" customHeight="1" s="25"/>
    <row r="30" ht="16.5" customFormat="1" customHeight="1" s="25"/>
    <row r="31" ht="16.5" customFormat="1" customHeight="1" s="25"/>
    <row r="32" ht="16.5" customFormat="1" customHeight="1" s="25"/>
    <row r="33" ht="16.5" customFormat="1" customHeight="1" s="25"/>
    <row r="34" ht="16.5" customFormat="1" customHeight="1" s="25"/>
    <row r="35" ht="16.5" customFormat="1" customHeight="1" s="25"/>
    <row r="36" ht="16.5" customFormat="1" customHeight="1" s="25"/>
    <row r="37" ht="16.5" customFormat="1" customHeight="1" s="25"/>
  </sheetData>
  <mergeCells count="18">
    <mergeCell ref="B10:D10"/>
    <mergeCell ref="B11:D11"/>
    <mergeCell ref="E10:G10"/>
    <mergeCell ref="E2:G2"/>
    <mergeCell ref="E11:G11"/>
    <mergeCell ref="E5:G5"/>
    <mergeCell ref="B8:D8"/>
    <mergeCell ref="A1:D6"/>
    <mergeCell ref="E8:G8"/>
    <mergeCell ref="B9:D9"/>
    <mergeCell ref="E9:G9"/>
    <mergeCell ref="E4:G4"/>
    <mergeCell ref="E12:G12"/>
    <mergeCell ref="E3:G3"/>
    <mergeCell ref="B12:D12"/>
    <mergeCell ref="B7:D7"/>
    <mergeCell ref="E7:G7"/>
    <mergeCell ref="E6:G6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6"/>
  <sheetViews>
    <sheetView topLeftCell="A19" workbookViewId="0">
      <selection activeCell="D52" sqref="D52"/>
    </sheetView>
  </sheetViews>
  <sheetFormatPr baseColWidth="8" defaultRowHeight="15"/>
  <cols>
    <col width="47.28515625" bestFit="1" customWidth="1" min="1" max="1"/>
    <col width="9.140625" customWidth="1" min="2" max="2"/>
    <col width="10.85546875" customWidth="1" min="3" max="3"/>
    <col width="16.85546875" customWidth="1" min="4" max="4"/>
    <col width="34.42578125" customWidth="1" min="7" max="7"/>
  </cols>
  <sheetData>
    <row r="1">
      <c r="A1" s="63" t="n"/>
      <c r="E1" s="11" t="n"/>
      <c r="F1" s="11" t="n"/>
      <c r="G1" s="11" t="n"/>
    </row>
    <row r="2" ht="15.75" customHeight="1">
      <c r="E2" s="64" t="n"/>
    </row>
    <row r="3">
      <c r="E3" s="65" t="n"/>
    </row>
    <row r="4" ht="15.75" customHeight="1">
      <c r="E4" s="64" t="n"/>
    </row>
    <row r="5">
      <c r="E5" s="66" t="n"/>
    </row>
    <row r="6">
      <c r="E6" s="63" t="n"/>
    </row>
    <row r="7" ht="15.75" customHeight="1">
      <c r="A7" s="3" t="inlineStr">
        <is>
          <t>Matthew D. Bessine</t>
        </is>
      </c>
      <c r="B7" s="67" t="inlineStr">
        <is>
          <t>2900 NE 60th St, Ste 150</t>
        </is>
      </c>
      <c r="E7" s="64" t="inlineStr">
        <is>
          <t>Adam K. Berman</t>
        </is>
      </c>
    </row>
    <row r="8" ht="15.75" customHeight="1">
      <c r="A8" s="4" t="inlineStr">
        <is>
          <t>Missouri, Kansas, Iowa</t>
        </is>
      </c>
      <c r="B8" s="67" t="inlineStr">
        <is>
          <t>Kansas City MO 64119</t>
        </is>
      </c>
      <c r="E8" s="65" t="inlineStr">
        <is>
          <t>Of Counsel, Missouri, Kansas</t>
        </is>
      </c>
    </row>
    <row r="9" ht="15.75" customHeight="1">
      <c r="A9" s="5" t="inlineStr">
        <is>
          <t>Scott F. Walterbach</t>
        </is>
      </c>
      <c r="B9" s="67" t="inlineStr">
        <is>
          <t>Phone [816] 601-1100</t>
        </is>
      </c>
      <c r="E9" s="64" t="n"/>
    </row>
    <row r="10" ht="15.75" customHeight="1">
      <c r="A10" s="4" t="inlineStr">
        <is>
          <t>Missouri, Kansas</t>
        </is>
      </c>
      <c r="B10" s="67" t="inlineStr">
        <is>
          <t>Fax [816] 601-1101</t>
        </is>
      </c>
      <c r="E10" s="66" t="n"/>
    </row>
    <row r="11" ht="15.75" customHeight="1">
      <c r="A11" s="63" t="n"/>
      <c r="B11" s="67" t="inlineStr">
        <is>
          <t>admin@bw-llp.com</t>
        </is>
      </c>
      <c r="E11" s="63" t="n"/>
    </row>
    <row r="12" ht="15.75" customHeight="1">
      <c r="A12" s="63" t="n"/>
      <c r="B12" s="67" t="inlineStr">
        <is>
          <t>www.bw-llp.com</t>
        </is>
      </c>
      <c r="E12" s="63" t="n"/>
    </row>
    <row r="13" ht="15.75" customHeight="1">
      <c r="A13" s="63" t="n"/>
      <c r="B13" s="67" t="n"/>
      <c r="C13" s="67" t="n"/>
      <c r="D13" s="67" t="n"/>
      <c r="E13" s="63" t="n"/>
      <c r="F13" s="63" t="n"/>
      <c r="G13" s="63" t="n"/>
    </row>
    <row r="14" ht="16.5" customFormat="1" customHeight="1" s="25"/>
    <row r="15" ht="16.5" customFormat="1" customHeight="1" s="25">
      <c r="A15" s="27" t="inlineStr">
        <is>
          <t>CONSUMER COLLECTION MANAGEMENT, INC. 2</t>
        </is>
      </c>
      <c r="B15" s="28" t="n"/>
      <c r="C15" s="29" t="n"/>
      <c r="D15" s="30" t="n"/>
      <c r="E15" s="30" t="n"/>
      <c r="F15" s="30" t="n"/>
      <c r="G15" s="30" t="n"/>
    </row>
    <row r="16" ht="16.5" customFormat="1" customHeight="1" s="25">
      <c r="A16" s="31" t="inlineStr">
        <is>
          <t>P.O. Box 34497</t>
        </is>
      </c>
      <c r="B16" s="28" t="n"/>
      <c r="C16" s="29" t="n"/>
      <c r="D16" s="30" t="n"/>
      <c r="E16" s="30" t="n"/>
      <c r="F16" s="30" t="n"/>
      <c r="G16" s="30" t="n"/>
    </row>
    <row r="17" ht="16.5" customFormat="1" customHeight="1" s="25">
      <c r="A17" s="31" t="inlineStr">
        <is>
          <t>North Kansas City, MO  64116</t>
        </is>
      </c>
      <c r="B17" s="28" t="n"/>
      <c r="C17" s="29" t="n"/>
      <c r="D17" s="30" t="n"/>
      <c r="E17" s="30" t="n"/>
      <c r="F17" s="30" t="n"/>
      <c r="G17" s="30" t="n"/>
    </row>
    <row r="18" ht="16.5" customFormat="1" customHeight="1" s="25">
      <c r="A18" s="31" t="n"/>
      <c r="B18" s="28" t="n"/>
      <c r="C18" s="29" t="n"/>
      <c r="D18" s="30" t="n"/>
      <c r="E18" s="30" t="n"/>
      <c r="F18" s="30" t="n"/>
      <c r="G18" s="30" t="n"/>
    </row>
    <row r="19" ht="16.5" customFormat="1" customHeight="1" s="25">
      <c r="A19" s="27" t="n"/>
      <c r="B19" s="28" t="n"/>
      <c r="C19" s="29" t="n"/>
      <c r="D19" s="30" t="n"/>
      <c r="E19" s="30" t="n"/>
      <c r="F19" s="30" t="n"/>
      <c r="G19" s="30" t="n"/>
    </row>
    <row r="20" ht="16.5" customFormat="1" customHeight="1" s="25">
      <c r="A20" s="27" t="inlineStr">
        <is>
          <t>Statement Thru 10-19-2026</t>
        </is>
      </c>
      <c r="B20" s="27" t="n"/>
      <c r="C20" s="76" t="n"/>
      <c r="D20" s="30" t="n"/>
      <c r="E20" s="30" t="n"/>
      <c r="F20" s="30" t="n"/>
      <c r="G20" s="30" t="n"/>
    </row>
    <row r="21" ht="16.5" customFormat="1" customHeight="1" s="25">
      <c r="A21" s="29" t="n"/>
      <c r="B21" s="29" t="n"/>
      <c r="C21" s="76" t="n"/>
      <c r="D21" s="30" t="n"/>
      <c r="E21" s="30" t="n"/>
      <c r="F21" s="30" t="n"/>
      <c r="G21" s="30" t="n"/>
    </row>
    <row r="22" ht="16.5" customFormat="1" customHeight="1" s="25">
      <c r="A22" s="68" t="inlineStr">
        <is>
          <t>Payment Summary</t>
        </is>
      </c>
      <c r="E22" s="30" t="n"/>
      <c r="F22" s="30" t="n"/>
      <c r="G22" s="30" t="n"/>
    </row>
    <row r="23" ht="16.5" customFormat="1" customHeight="1" s="25">
      <c r="A23" s="40" t="inlineStr">
        <is>
          <t>Principal Payments</t>
        </is>
      </c>
      <c r="B23" s="40" t="n"/>
      <c r="C23" s="41" t="n"/>
      <c r="D23" s="80">
        <f>Payments!E5</f>
        <v/>
      </c>
      <c r="E23" s="30" t="n"/>
      <c r="F23" s="30" t="n"/>
      <c r="G23" s="30" t="n"/>
    </row>
    <row r="24" ht="16.5" customFormat="1" customHeight="1" s="25">
      <c r="A24" s="40" t="inlineStr">
        <is>
          <t>Costs Returned by Defendant</t>
        </is>
      </c>
      <c r="B24" s="40" t="n"/>
      <c r="C24" s="41" t="n"/>
      <c r="D24" s="80">
        <f>Payments!F5</f>
        <v/>
      </c>
      <c r="E24" s="36" t="n"/>
    </row>
    <row r="25" ht="16.5" customFormat="1" customHeight="1" s="25">
      <c r="A25" s="40" t="inlineStr">
        <is>
          <t>Interest from Payments Worksheet</t>
        </is>
      </c>
      <c r="B25" s="40" t="n"/>
      <c r="C25" s="41" t="n"/>
      <c r="D25" s="80">
        <f>Payments!I5</f>
        <v/>
      </c>
      <c r="E25" s="36" t="n"/>
    </row>
    <row r="26" ht="14.25" customFormat="1" customHeight="1" s="25">
      <c r="A26" s="40" t="inlineStr">
        <is>
          <t>Interest from IntOnly Worksheet</t>
        </is>
      </c>
      <c r="B26" s="40" t="n"/>
      <c r="C26" s="41" t="n"/>
      <c r="D26" s="81">
        <f>IntOnly!C5</f>
        <v/>
      </c>
      <c r="E26" s="36" t="n"/>
    </row>
    <row r="27" ht="16.5" customFormat="1" customHeight="1" s="25">
      <c r="A27" s="45" t="inlineStr">
        <is>
          <t>Total Recovered by BW</t>
        </is>
      </c>
      <c r="B27" s="45" t="n"/>
      <c r="C27" s="46" t="n"/>
      <c r="D27" s="82">
        <f>SUM(D23:D26)</f>
        <v/>
      </c>
      <c r="E27" s="37" t="n"/>
    </row>
    <row r="28" ht="16.5" customFormat="1" customHeight="1" s="25">
      <c r="A28" s="45" t="n"/>
      <c r="B28" s="45" t="n"/>
      <c r="C28" s="46" t="n"/>
      <c r="D28" s="82" t="n"/>
      <c r="E28" s="37" t="n"/>
    </row>
    <row r="29" ht="16.5" customFormat="1" customHeight="1" s="25">
      <c r="A29" s="69" t="inlineStr">
        <is>
          <t>Commission Calculation</t>
        </is>
      </c>
      <c r="E29" s="36" t="n"/>
    </row>
    <row r="30" ht="16.5" customFormat="1" customHeight="1" s="25">
      <c r="A30" s="41" t="inlineStr">
        <is>
          <t>Principal Payments</t>
        </is>
      </c>
      <c r="B30" s="41" t="n"/>
      <c r="C30" s="41" t="n"/>
      <c r="D30" s="83">
        <f>D23</f>
        <v/>
      </c>
    </row>
    <row r="31" ht="16.5" customFormat="1" customHeight="1" s="25">
      <c r="A31" s="41" t="inlineStr">
        <is>
          <t>Client Commission</t>
        </is>
      </c>
      <c r="B31" s="41" t="n"/>
      <c r="C31" s="41" t="n"/>
      <c r="D31" s="84">
        <f>-Payments!G5</f>
        <v/>
      </c>
    </row>
    <row r="32" ht="16.5" customFormat="1" customHeight="1" s="25">
      <c r="A32" s="46" t="inlineStr">
        <is>
          <t>BW Commission</t>
        </is>
      </c>
      <c r="B32" s="46" t="n"/>
      <c r="C32" s="46" t="n"/>
      <c r="D32" s="85">
        <f>SUM(D30:D31)</f>
        <v/>
      </c>
    </row>
    <row r="33" ht="16.5" customFormat="1" customHeight="1" s="25">
      <c r="A33" s="46" t="n"/>
      <c r="B33" s="46" t="n"/>
      <c r="C33" s="46" t="n"/>
      <c r="D33" s="85" t="n"/>
    </row>
    <row r="34" ht="16.5" customFormat="1" customHeight="1" s="25">
      <c r="A34" s="70" t="inlineStr">
        <is>
          <t>Total Cost and Commission for BW LLP</t>
        </is>
      </c>
    </row>
    <row r="35" ht="16.5" customFormat="1" customHeight="1" s="25">
      <c r="A35" s="41" t="inlineStr">
        <is>
          <t>BW Commission</t>
        </is>
      </c>
      <c r="B35" s="41" t="n"/>
      <c r="C35" s="41" t="n"/>
      <c r="D35" s="83">
        <f>D32</f>
        <v/>
      </c>
    </row>
    <row r="36" ht="16.5" customFormat="1" customHeight="1" s="25">
      <c r="A36" s="41" t="inlineStr">
        <is>
          <t>BW Commission on Direct Pmt</t>
        </is>
      </c>
      <c r="B36" s="41" t="n"/>
      <c r="C36" s="41" t="n"/>
      <c r="D36" s="83" t="n">
        <v>0</v>
      </c>
    </row>
    <row r="37" ht="16.5" customFormat="1" customHeight="1" s="25">
      <c r="A37" s="41" t="inlineStr">
        <is>
          <t>Amount due for Advanced Costs</t>
        </is>
      </c>
      <c r="B37" s="41" t="n"/>
      <c r="C37" s="41" t="n"/>
      <c r="D37" s="84">
        <f>Cost!D5</f>
        <v/>
      </c>
    </row>
    <row r="38" ht="16.5" customFormat="1" customHeight="1" s="25">
      <c r="A38" s="46" t="inlineStr">
        <is>
          <t>Total Due to BW LLP</t>
        </is>
      </c>
      <c r="B38" s="46" t="n"/>
      <c r="C38" s="46" t="n"/>
      <c r="D38" s="86">
        <f>SUM(D35:D37)</f>
        <v/>
      </c>
    </row>
    <row r="39" ht="16.5" customFormat="1" customHeight="1" s="25">
      <c r="A39" s="46" t="n"/>
      <c r="B39" s="46" t="n"/>
      <c r="C39" s="46" t="n"/>
      <c r="D39" s="85" t="n"/>
    </row>
    <row r="40" ht="16.5" customFormat="1" customHeight="1" s="25">
      <c r="A40" s="69" t="inlineStr">
        <is>
          <t>ACH Explanation</t>
        </is>
      </c>
    </row>
    <row r="41" ht="16.5" customFormat="1" customHeight="1" s="25">
      <c r="A41" s="41" t="inlineStr">
        <is>
          <t>Total Recovered by BW LLP</t>
        </is>
      </c>
      <c r="B41" s="41" t="n"/>
      <c r="C41" s="41" t="n"/>
      <c r="D41" s="83">
        <f>D27</f>
        <v/>
      </c>
    </row>
    <row r="42" ht="16.5" customFormat="1" customHeight="1" s="25">
      <c r="A42" s="41" t="inlineStr">
        <is>
          <t>Less- Interest Kept By BW from Payments Worksheet</t>
        </is>
      </c>
      <c r="B42" s="41" t="n"/>
      <c r="C42" s="41" t="n"/>
      <c r="D42" s="83">
        <f>-D25</f>
        <v/>
      </c>
    </row>
    <row r="43" ht="16.5" customFormat="1" customHeight="1" s="25">
      <c r="A43" s="41" t="inlineStr">
        <is>
          <t>Less- Interest Kept By BW from Int Only Worksheet</t>
        </is>
      </c>
      <c r="B43" s="41" t="n"/>
      <c r="C43" s="41" t="n"/>
      <c r="D43" s="83">
        <f>-D26</f>
        <v/>
      </c>
    </row>
    <row r="44" ht="16.5" customFormat="1" customHeight="1" s="25">
      <c r="A44" s="41" t="inlineStr">
        <is>
          <t>Less- BW Commission</t>
        </is>
      </c>
      <c r="B44" s="41" t="n"/>
      <c r="C44" s="41" t="n"/>
      <c r="D44" s="83">
        <f>-(D35+D36)</f>
        <v/>
      </c>
    </row>
    <row r="45" ht="16.5" customFormat="1" customHeight="1" s="25">
      <c r="A45" s="41" t="inlineStr">
        <is>
          <t>Less Amount Due for Advanced Costs</t>
        </is>
      </c>
      <c r="B45" s="41" t="n"/>
      <c r="C45" s="41" t="n"/>
      <c r="D45" s="84">
        <f>-D37</f>
        <v/>
      </c>
    </row>
    <row r="46" ht="16.5" customFormat="1" customHeight="1" s="25">
      <c r="A46" s="46" t="inlineStr">
        <is>
          <t>Total Sent to Client Via ACH</t>
        </is>
      </c>
      <c r="B46" s="46" t="n"/>
      <c r="C46" s="46" t="n"/>
      <c r="D46" s="86">
        <f>SUM(D41:D45)</f>
        <v/>
      </c>
    </row>
  </sheetData>
  <mergeCells count="22">
    <mergeCell ref="B11:D11"/>
    <mergeCell ref="E10:G10"/>
    <mergeCell ref="A22:D22"/>
    <mergeCell ref="B8:D8"/>
    <mergeCell ref="A1:D6"/>
    <mergeCell ref="A29:D29"/>
    <mergeCell ref="E9:G9"/>
    <mergeCell ref="E6:G6"/>
    <mergeCell ref="B10:D10"/>
    <mergeCell ref="A40:D40"/>
    <mergeCell ref="E2:G2"/>
    <mergeCell ref="E11:G11"/>
    <mergeCell ref="A34:D34"/>
    <mergeCell ref="B9:D9"/>
    <mergeCell ref="E7:G7"/>
    <mergeCell ref="E12:G12"/>
    <mergeCell ref="E3:G3"/>
    <mergeCell ref="B7:D7"/>
    <mergeCell ref="E5:G5"/>
    <mergeCell ref="E8:G8"/>
    <mergeCell ref="E4:G4"/>
    <mergeCell ref="B12:D12"/>
  </mergeCells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9"/>
  <sheetViews>
    <sheetView tabSelected="1" topLeftCell="A10" workbookViewId="0">
      <selection activeCell="D29" sqref="D29"/>
    </sheetView>
  </sheetViews>
  <sheetFormatPr baseColWidth="8" defaultRowHeight="15"/>
  <cols>
    <col width="47.28515625" bestFit="1" customWidth="1" min="1" max="1"/>
    <col width="9.140625" customWidth="1" min="2" max="2"/>
    <col width="10.85546875" customWidth="1" min="3" max="3"/>
    <col width="16.85546875" customWidth="1" min="4" max="4"/>
    <col width="34.42578125" customWidth="1" min="7" max="7"/>
  </cols>
  <sheetData>
    <row r="1">
      <c r="A1" s="63" t="n"/>
      <c r="E1" s="11" t="n"/>
      <c r="F1" s="11" t="n"/>
      <c r="G1" s="11" t="n"/>
    </row>
    <row r="2" ht="15.75" customHeight="1">
      <c r="E2" s="64" t="n"/>
    </row>
    <row r="3">
      <c r="E3" s="65" t="n"/>
    </row>
    <row r="4" ht="15.75" customHeight="1">
      <c r="E4" s="64" t="n"/>
    </row>
    <row r="5">
      <c r="E5" s="66" t="n"/>
    </row>
    <row r="6">
      <c r="E6" s="63" t="n"/>
    </row>
    <row r="7" ht="15.75" customHeight="1">
      <c r="A7" s="3" t="inlineStr">
        <is>
          <t>Matthew D. Bessine</t>
        </is>
      </c>
      <c r="B7" s="67" t="inlineStr">
        <is>
          <t>2900 NE 60th St, Ste 150</t>
        </is>
      </c>
      <c r="E7" s="64" t="inlineStr">
        <is>
          <t>Adam K. Berman</t>
        </is>
      </c>
    </row>
    <row r="8" ht="15.75" customHeight="1">
      <c r="A8" s="4" t="inlineStr">
        <is>
          <t>Missouri, Kansas, Iowa</t>
        </is>
      </c>
      <c r="B8" s="67" t="inlineStr">
        <is>
          <t>Kansas City MO 64119</t>
        </is>
      </c>
      <c r="E8" s="65" t="inlineStr">
        <is>
          <t>Of Counsel, Missouri, Kansas</t>
        </is>
      </c>
    </row>
    <row r="9" ht="15.75" customHeight="1">
      <c r="A9" s="5" t="inlineStr">
        <is>
          <t>Scott F. Walterbach</t>
        </is>
      </c>
      <c r="B9" s="67" t="inlineStr">
        <is>
          <t>Phone [816] 601-1100</t>
        </is>
      </c>
      <c r="E9" s="64" t="n"/>
    </row>
    <row r="10" ht="15.75" customHeight="1">
      <c r="A10" s="4" t="inlineStr">
        <is>
          <t>Missouri, Kansas</t>
        </is>
      </c>
      <c r="B10" s="67" t="inlineStr">
        <is>
          <t>Fax [816] 601-1101</t>
        </is>
      </c>
      <c r="E10" s="66" t="n"/>
    </row>
    <row r="11" ht="15.75" customHeight="1">
      <c r="A11" s="63" t="n"/>
      <c r="B11" s="67" t="inlineStr">
        <is>
          <t>admin@bw-llp.com</t>
        </is>
      </c>
      <c r="E11" s="63" t="n"/>
    </row>
    <row r="12" ht="15.75" customHeight="1">
      <c r="A12" s="63" t="n"/>
      <c r="B12" s="67" t="inlineStr">
        <is>
          <t>www.bw-llp.com</t>
        </is>
      </c>
      <c r="E12" s="63" t="n"/>
    </row>
    <row r="13" ht="15.75" customHeight="1">
      <c r="A13" s="63" t="n"/>
      <c r="B13" s="67" t="n"/>
      <c r="C13" s="67" t="n"/>
      <c r="D13" s="67" t="n"/>
      <c r="E13" s="63" t="n"/>
      <c r="F13" s="63" t="n"/>
      <c r="G13" s="63" t="n"/>
    </row>
    <row r="14" ht="16.5" customFormat="1" customHeight="1" s="25"/>
    <row r="15" ht="16.5" customFormat="1" customHeight="1" s="25">
      <c r="A15" s="27" t="inlineStr">
        <is>
          <t>CONSUMER COLLECTION MANAGEMENT, INC. 2</t>
        </is>
      </c>
      <c r="B15" s="28" t="n"/>
      <c r="C15" s="29" t="n"/>
      <c r="D15" s="30" t="n"/>
      <c r="E15" s="30" t="n"/>
      <c r="F15" s="30" t="n"/>
      <c r="G15" s="30" t="n"/>
    </row>
    <row r="16" ht="16.5" customFormat="1" customHeight="1" s="25">
      <c r="A16" s="31" t="inlineStr">
        <is>
          <t>P.O. Box 34497</t>
        </is>
      </c>
      <c r="B16" s="28" t="n"/>
      <c r="C16" s="29" t="n"/>
      <c r="D16" s="30" t="n"/>
      <c r="E16" s="30" t="n"/>
      <c r="F16" s="30" t="n"/>
      <c r="G16" s="30" t="n"/>
    </row>
    <row r="17" ht="16.5" customFormat="1" customHeight="1" s="25">
      <c r="A17" s="31" t="inlineStr">
        <is>
          <t>North Kansas City, MO  64116</t>
        </is>
      </c>
      <c r="B17" s="28" t="n"/>
      <c r="C17" s="29" t="n"/>
      <c r="D17" s="30" t="n"/>
      <c r="E17" s="30" t="n"/>
      <c r="F17" s="30" t="n"/>
      <c r="G17" s="30" t="n"/>
    </row>
    <row r="18" ht="16.5" customFormat="1" customHeight="1" s="25">
      <c r="A18" s="31" t="n"/>
      <c r="B18" s="28" t="n"/>
      <c r="C18" s="29" t="n"/>
      <c r="D18" s="30" t="n"/>
      <c r="E18" s="30" t="n"/>
      <c r="F18" s="30" t="n"/>
      <c r="G18" s="30" t="n"/>
    </row>
    <row r="19" ht="16.5" customFormat="1" customHeight="1" s="25">
      <c r="A19" s="27" t="n"/>
      <c r="B19" s="28" t="n"/>
      <c r="C19" s="29" t="n"/>
      <c r="D19" s="30" t="n"/>
      <c r="E19" s="30" t="n"/>
      <c r="F19" s="30" t="n"/>
      <c r="G19" s="30" t="n"/>
    </row>
    <row r="20" ht="16.5" customFormat="1" customHeight="1" s="25">
      <c r="A20" s="27" t="inlineStr">
        <is>
          <t>Statement Thru 10-19-2026</t>
        </is>
      </c>
      <c r="B20" s="27" t="n"/>
      <c r="C20" s="76" t="n"/>
      <c r="D20" s="30" t="n"/>
      <c r="E20" s="30" t="n"/>
      <c r="F20" s="30" t="n"/>
      <c r="G20" s="30" t="n"/>
    </row>
    <row r="21" ht="16.5" customFormat="1" customHeight="1" s="25">
      <c r="A21" s="29" t="n"/>
      <c r="B21" s="29" t="n"/>
      <c r="C21" s="76" t="n"/>
      <c r="D21" s="30" t="n"/>
      <c r="E21" s="30" t="n"/>
      <c r="F21" s="30" t="n"/>
      <c r="G21" s="30" t="n"/>
    </row>
    <row r="22" ht="16.5" customFormat="1" customHeight="1" s="25">
      <c r="A22" s="29" t="n"/>
      <c r="B22" s="29" t="n"/>
      <c r="C22" s="76" t="n"/>
      <c r="D22" s="30" t="n"/>
      <c r="E22" s="30" t="n"/>
      <c r="F22" s="30" t="n"/>
      <c r="G22" s="30" t="n"/>
    </row>
    <row r="23" ht="16.5" customFormat="1" customHeight="1" s="25">
      <c r="A23" s="52" t="inlineStr">
        <is>
          <t>Defendant Payments</t>
        </is>
      </c>
      <c r="B23" s="29" t="n"/>
      <c r="C23" s="53" t="n"/>
      <c r="D23" s="76">
        <f>Payments!D5</f>
        <v/>
      </c>
      <c r="E23" s="53" t="n"/>
      <c r="F23" s="30" t="n"/>
      <c r="G23" s="30" t="n"/>
    </row>
    <row r="24" ht="16.5" customFormat="1" customHeight="1" s="25">
      <c r="A24" s="52" t="inlineStr">
        <is>
          <t>Less - BW LLP Share</t>
        </is>
      </c>
      <c r="B24" s="29" t="n"/>
      <c r="C24" s="53" t="n"/>
      <c r="D24" s="76">
        <f>-Payments!H5</f>
        <v/>
      </c>
      <c r="E24" s="53" t="n"/>
      <c r="F24" s="30" t="n"/>
      <c r="G24" s="30" t="n"/>
    </row>
    <row r="25" ht="16.5" customFormat="1" customHeight="1" s="25">
      <c r="A25" s="52" t="inlineStr">
        <is>
          <t>Less - BW LLP Interest</t>
        </is>
      </c>
      <c r="B25" s="29" t="n"/>
      <c r="C25" s="53" t="n"/>
      <c r="D25" s="76">
        <f>-Payments!I5</f>
        <v/>
      </c>
      <c r="E25" s="53" t="n"/>
      <c r="F25" s="30" t="n"/>
      <c r="G25" s="30" t="n"/>
    </row>
    <row r="26" ht="16.5" customFormat="1" customHeight="1" s="25">
      <c r="A26" s="52" t="inlineStr">
        <is>
          <t>Less - Costs Recovered For BW LLP</t>
        </is>
      </c>
      <c r="B26" s="29" t="n"/>
      <c r="C26" s="53" t="n"/>
      <c r="D26" s="78">
        <f>-Payments!F5</f>
        <v/>
      </c>
      <c r="E26" s="53" t="n"/>
      <c r="F26" s="30" t="n"/>
      <c r="G26" s="30" t="n"/>
    </row>
    <row r="27" ht="14.25" customFormat="1" customHeight="1" s="25">
      <c r="A27" s="52" t="inlineStr">
        <is>
          <t>Net Cash Distribution</t>
        </is>
      </c>
      <c r="B27" s="29" t="n"/>
      <c r="C27" s="53" t="n"/>
      <c r="D27" s="87">
        <f>SUM(D23:D26)</f>
        <v/>
      </c>
      <c r="E27" s="53" t="n"/>
      <c r="F27" s="30" t="n"/>
      <c r="G27" s="30" t="n"/>
    </row>
    <row r="28" ht="16.5" customFormat="1" customHeight="1" s="25">
      <c r="A28" s="29" t="n"/>
      <c r="B28" s="29" t="n"/>
      <c r="C28" s="53" t="n"/>
      <c r="D28" s="76" t="n"/>
      <c r="E28" s="53" t="n"/>
    </row>
    <row r="29" ht="16.5" customFormat="1" customHeight="1" s="25">
      <c r="A29" s="29" t="inlineStr">
        <is>
          <t>New Costs Advanced by BW LLP</t>
        </is>
      </c>
      <c r="B29" s="53" t="n"/>
      <c r="C29" s="53" t="n"/>
      <c r="D29" s="88" t="n"/>
      <c r="E29" s="53" t="n"/>
    </row>
    <row r="30" ht="16.5" customFormat="1" customHeight="1" s="25"/>
    <row r="31" ht="16.5" customFormat="1" customHeight="1" s="25"/>
  </sheetData>
  <mergeCells count="18">
    <mergeCell ref="B10:D10"/>
    <mergeCell ref="B11:D11"/>
    <mergeCell ref="E10:G10"/>
    <mergeCell ref="E2:G2"/>
    <mergeCell ref="E11:G11"/>
    <mergeCell ref="E5:G5"/>
    <mergeCell ref="B8:D8"/>
    <mergeCell ref="A1:D6"/>
    <mergeCell ref="E8:G8"/>
    <mergeCell ref="B9:D9"/>
    <mergeCell ref="E9:G9"/>
    <mergeCell ref="E4:G4"/>
    <mergeCell ref="E12:G12"/>
    <mergeCell ref="E3:G3"/>
    <mergeCell ref="B12:D12"/>
    <mergeCell ref="B7:D7"/>
    <mergeCell ref="E7:G7"/>
    <mergeCell ref="E6:G6"/>
  </mergeCells>
  <pageMargins left="0.7" right="0.7" top="0.75" bottom="0.75" header="0.3" footer="0.3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6"/>
  <sheetViews>
    <sheetView workbookViewId="0">
      <selection activeCell="D19" sqref="D19"/>
    </sheetView>
  </sheetViews>
  <sheetFormatPr baseColWidth="8" defaultRowHeight="15"/>
  <cols>
    <col width="37.5703125" customWidth="1" min="1" max="1"/>
    <col width="25.28515625" customWidth="1" min="2" max="2"/>
    <col width="31.7109375" customWidth="1" style="19" min="3" max="3"/>
    <col width="41.5703125" customWidth="1" style="89" min="4" max="4"/>
    <col width="46.28515625" customWidth="1" min="5" max="5"/>
    <col width="54.7109375" customWidth="1" min="6" max="6"/>
  </cols>
  <sheetData>
    <row r="1">
      <c r="B1" s="71" t="inlineStr">
        <is>
          <t>CONSUMER COLLECTION MANAGEMENT, INC. 2 COST REPORT</t>
        </is>
      </c>
    </row>
    <row r="2">
      <c r="B2" s="71" t="inlineStr">
        <is>
          <t>Costs Thru 10-19-2026</t>
        </is>
      </c>
    </row>
    <row r="3">
      <c r="B3" s="74" t="n"/>
      <c r="C3" s="16" t="n"/>
      <c r="D3" s="90" t="n"/>
      <c r="E3" s="8" t="inlineStr">
        <is>
          <t> </t>
        </is>
      </c>
    </row>
    <row r="4">
      <c r="B4" s="74" t="n"/>
      <c r="C4" s="16" t="n"/>
      <c r="D4" s="90" t="n"/>
      <c r="E4" s="8" t="n"/>
    </row>
    <row r="5">
      <c r="B5" s="9" t="inlineStr">
        <is>
          <t>Total</t>
        </is>
      </c>
      <c r="C5" s="19" t="n"/>
      <c r="D5" s="89">
        <f>SUM(D8:D6500)</f>
        <v/>
      </c>
      <c r="E5" s="10" t="n"/>
    </row>
    <row r="6">
      <c r="C6" s="19" t="n"/>
    </row>
    <row r="7" ht="26.25" customHeight="1">
      <c r="A7" s="71" t="inlineStr">
        <is>
          <t>DEFENDANT'S NAME</t>
        </is>
      </c>
      <c r="B7" s="71" t="inlineStr">
        <is>
          <t>PLAINTIFF</t>
        </is>
      </c>
      <c r="C7" s="18" t="inlineStr">
        <is>
          <t>REF NO.</t>
        </is>
      </c>
      <c r="D7" s="91" t="inlineStr">
        <is>
          <t>AMOUNT</t>
        </is>
      </c>
      <c r="E7" s="71" t="inlineStr">
        <is>
          <t>COST REASON</t>
        </is>
      </c>
      <c r="F7" s="71" t="inlineStr">
        <is>
          <t>NOTES</t>
        </is>
      </c>
    </row>
    <row r="8">
      <c r="A8" t="inlineStr">
        <is>
          <t>Kannan Alisodai</t>
        </is>
      </c>
      <c r="B8" t="inlineStr">
        <is>
          <t>St. Luke's Episcopal-Presbyterian Hospitals</t>
        </is>
      </c>
      <c r="C8" s="19" t="inlineStr">
        <is>
          <t>AO8644</t>
        </is>
      </c>
      <c r="D8" t="n">
        <v>54</v>
      </c>
      <c r="E8" t="inlineStr">
        <is>
          <t>EFIL:E-filed Filing Fee</t>
        </is>
      </c>
      <c r="F8" t="inlineStr"/>
    </row>
    <row r="9">
      <c r="A9" t="inlineStr">
        <is>
          <t>Kannan Alisodai</t>
        </is>
      </c>
      <c r="B9" t="inlineStr">
        <is>
          <t>St. Luke's Episcopal-Presbyterian Hospitals</t>
        </is>
      </c>
      <c r="C9" s="19" t="inlineStr">
        <is>
          <t>AO8644</t>
        </is>
      </c>
      <c r="D9" t="n">
        <v>70</v>
      </c>
      <c r="E9" t="inlineStr">
        <is>
          <t>ESPS:ACH Special Prcss Fee</t>
        </is>
      </c>
      <c r="F9" t="inlineStr"/>
    </row>
    <row r="10">
      <c r="A10" t="inlineStr">
        <is>
          <t>Sara Barkey</t>
        </is>
      </c>
      <c r="B10" t="inlineStr">
        <is>
          <t>St. Luke's Episcopal-Presbyterian Hospitals</t>
        </is>
      </c>
      <c r="C10" s="19" t="inlineStr">
        <is>
          <t>BNL314</t>
        </is>
      </c>
      <c r="D10" t="n">
        <v>54</v>
      </c>
      <c r="E10" t="inlineStr">
        <is>
          <t>EFIL:E-filed Filing Fee</t>
        </is>
      </c>
      <c r="F10" t="inlineStr"/>
    </row>
    <row r="11">
      <c r="A11" t="inlineStr">
        <is>
          <t>Sara Barkey</t>
        </is>
      </c>
      <c r="B11" t="inlineStr">
        <is>
          <t>St. Luke's Episcopal-Presbyterian Hospitals</t>
        </is>
      </c>
      <c r="C11" s="19" t="inlineStr">
        <is>
          <t>BNL314</t>
        </is>
      </c>
      <c r="D11" t="n">
        <v>70</v>
      </c>
      <c r="E11" t="inlineStr">
        <is>
          <t>ESPS:ACH Special Prcss Fee</t>
        </is>
      </c>
      <c r="F11" t="inlineStr"/>
    </row>
    <row r="12">
      <c r="A12" t="inlineStr">
        <is>
          <t>Terralynn Boyd</t>
        </is>
      </c>
      <c r="B12" t="inlineStr">
        <is>
          <t>St. Luke's Episcopal-Presbyterian Hospitals</t>
        </is>
      </c>
      <c r="C12" s="19" t="inlineStr">
        <is>
          <t>BMX939</t>
        </is>
      </c>
      <c r="D12" t="n">
        <v>10.5</v>
      </c>
      <c r="E12" t="inlineStr">
        <is>
          <t>EFIL:E-filed Filing Fee</t>
        </is>
      </c>
      <c r="F12" t="inlineStr">
        <is>
          <t>Court Fee</t>
        </is>
      </c>
    </row>
    <row r="13">
      <c r="A13" t="inlineStr">
        <is>
          <t>Terralynn Boyd</t>
        </is>
      </c>
      <c r="B13" t="inlineStr">
        <is>
          <t>St. Luke's Episcopal-Presbyterian Hospitals</t>
        </is>
      </c>
      <c r="C13" s="19" t="inlineStr">
        <is>
          <t>BMX939</t>
        </is>
      </c>
      <c r="D13" t="n">
        <v>46</v>
      </c>
      <c r="E13" t="inlineStr">
        <is>
          <t>SHFE:Sheriff's Fee</t>
        </is>
      </c>
      <c r="F13" t="inlineStr">
        <is>
          <t>gmt @ mr poe</t>
        </is>
      </c>
    </row>
    <row r="14">
      <c r="A14" t="inlineStr">
        <is>
          <t>Spencer Craven</t>
        </is>
      </c>
      <c r="B14" t="inlineStr">
        <is>
          <t>St. Luke's Episcopal-Presbyterian Hospitals</t>
        </is>
      </c>
      <c r="C14" s="19" t="inlineStr">
        <is>
          <t>CHQ495</t>
        </is>
      </c>
      <c r="D14" t="n">
        <v>10.5</v>
      </c>
      <c r="E14" t="inlineStr">
        <is>
          <t>EFIL:E-filed Filing Fee</t>
        </is>
      </c>
      <c r="F14" t="inlineStr">
        <is>
          <t>Court Fee</t>
        </is>
      </c>
    </row>
    <row r="15">
      <c r="A15" t="inlineStr">
        <is>
          <t>Spencer Craven</t>
        </is>
      </c>
      <c r="B15" t="inlineStr">
        <is>
          <t>St. Luke's Episcopal-Presbyterian Hospitals</t>
        </is>
      </c>
      <c r="C15" s="19" t="inlineStr">
        <is>
          <t>CHQ495</t>
        </is>
      </c>
      <c r="D15" t="n">
        <v>46</v>
      </c>
      <c r="E15" t="inlineStr">
        <is>
          <t>SHFE:Sheriff's Fee</t>
        </is>
      </c>
      <c r="F15" t="inlineStr">
        <is>
          <t>gmt @ mr poe</t>
        </is>
      </c>
    </row>
    <row r="16">
      <c r="A16" t="inlineStr">
        <is>
          <t>Ashton N. Dent</t>
        </is>
      </c>
      <c r="B16" t="inlineStr">
        <is>
          <t>St. Luke's Episcopal-Presbyterian Hospitals</t>
        </is>
      </c>
      <c r="C16" s="19" t="inlineStr">
        <is>
          <t>DAB498</t>
        </is>
      </c>
      <c r="D16" t="n">
        <v>70</v>
      </c>
      <c r="E16" t="inlineStr">
        <is>
          <t>ESPS:ACH Special Prcss Fee</t>
        </is>
      </c>
      <c r="F16" t="inlineStr">
        <is>
          <t>alias</t>
        </is>
      </c>
    </row>
    <row r="17">
      <c r="A17" t="inlineStr">
        <is>
          <t>Erika R. Donaldson</t>
        </is>
      </c>
      <c r="B17" t="inlineStr">
        <is>
          <t>St. Luke's Episcopal-Presbyterian Hospitals</t>
        </is>
      </c>
      <c r="C17" s="19" t="inlineStr">
        <is>
          <t>DAI143</t>
        </is>
      </c>
      <c r="D17" t="n">
        <v>54</v>
      </c>
      <c r="E17" t="inlineStr">
        <is>
          <t>EFIL:E-filed Filing Fee</t>
        </is>
      </c>
      <c r="F17" t="inlineStr"/>
    </row>
    <row r="18">
      <c r="A18" t="inlineStr">
        <is>
          <t>Erika R. Donaldson</t>
        </is>
      </c>
      <c r="B18" t="inlineStr">
        <is>
          <t>St. Luke's Episcopal-Presbyterian Hospitals</t>
        </is>
      </c>
      <c r="C18" s="19" t="inlineStr">
        <is>
          <t>DAI143</t>
        </is>
      </c>
      <c r="D18" t="n">
        <v>70</v>
      </c>
      <c r="E18" t="inlineStr">
        <is>
          <t>ESPS:ACH Special Prcss Fee</t>
        </is>
      </c>
      <c r="F18" t="inlineStr"/>
    </row>
    <row r="19">
      <c r="A19" t="inlineStr">
        <is>
          <t>George F. Donovan III</t>
        </is>
      </c>
      <c r="B19" t="inlineStr">
        <is>
          <t>St. Luke's Episcopal-Presbyterian Hospitals</t>
        </is>
      </c>
      <c r="C19" s="19" t="inlineStr">
        <is>
          <t>DX7980</t>
        </is>
      </c>
      <c r="D19" t="n">
        <v>10.5</v>
      </c>
      <c r="E19" t="inlineStr">
        <is>
          <t>EFIL:E-filed Filing Fee</t>
        </is>
      </c>
      <c r="F19" t="inlineStr">
        <is>
          <t>Court Fee</t>
        </is>
      </c>
    </row>
    <row r="20">
      <c r="A20" t="inlineStr">
        <is>
          <t>George F. Donovan III</t>
        </is>
      </c>
      <c r="B20" t="inlineStr">
        <is>
          <t>St. Luke's Episcopal-Presbyterian Hospitals</t>
        </is>
      </c>
      <c r="C20" s="19" t="inlineStr">
        <is>
          <t>DX7980</t>
        </is>
      </c>
      <c r="D20" t="n">
        <v>49</v>
      </c>
      <c r="E20" t="inlineStr">
        <is>
          <t>SHFE:Sheriff's Fee</t>
        </is>
      </c>
      <c r="F20" t="inlineStr">
        <is>
          <t>gmt @ mr poe</t>
        </is>
      </c>
    </row>
    <row r="21">
      <c r="A21" t="inlineStr">
        <is>
          <t>Julie C. Enyabine</t>
        </is>
      </c>
      <c r="B21" t="inlineStr">
        <is>
          <t>St. Luke's Episcopal-Presbyterian Hospitals</t>
        </is>
      </c>
      <c r="C21" s="19" t="inlineStr">
        <is>
          <t>EG2313</t>
        </is>
      </c>
      <c r="D21" t="n">
        <v>59</v>
      </c>
      <c r="E21" t="inlineStr">
        <is>
          <t>EFIL:E-filed Filing Fee</t>
        </is>
      </c>
      <c r="F21" t="inlineStr"/>
    </row>
    <row r="22">
      <c r="A22" t="inlineStr">
        <is>
          <t>Julie C. Enyabine</t>
        </is>
      </c>
      <c r="B22" t="inlineStr">
        <is>
          <t>St. Luke's Episcopal-Presbyterian Hospitals</t>
        </is>
      </c>
      <c r="C22" s="19" t="inlineStr">
        <is>
          <t>EG2313</t>
        </is>
      </c>
      <c r="D22" t="n">
        <v>70</v>
      </c>
      <c r="E22" t="inlineStr">
        <is>
          <t>ESPS:ACH Special Prcss Fee</t>
        </is>
      </c>
      <c r="F22" t="inlineStr"/>
    </row>
    <row r="23">
      <c r="A23" t="inlineStr">
        <is>
          <t>Shannon Fant</t>
        </is>
      </c>
      <c r="B23" t="inlineStr">
        <is>
          <t>St. Luke's Episcopal-Presbyterian Hospitals</t>
        </is>
      </c>
      <c r="C23" s="19" t="inlineStr">
        <is>
          <t>FP1487</t>
        </is>
      </c>
      <c r="D23" t="n">
        <v>54</v>
      </c>
      <c r="E23" t="inlineStr">
        <is>
          <t>EFIL:E-filed Filing Fee</t>
        </is>
      </c>
      <c r="F23" t="inlineStr"/>
    </row>
    <row r="24">
      <c r="A24" t="inlineStr">
        <is>
          <t>Shannon Fant</t>
        </is>
      </c>
      <c r="B24" t="inlineStr">
        <is>
          <t>St. Luke's Episcopal-Presbyterian Hospitals</t>
        </is>
      </c>
      <c r="C24" s="19" t="inlineStr">
        <is>
          <t>FP1487</t>
        </is>
      </c>
      <c r="D24" t="n">
        <v>70</v>
      </c>
      <c r="E24" t="inlineStr">
        <is>
          <t>ESPS:ACH Special Prcss Fee</t>
        </is>
      </c>
      <c r="F24" t="inlineStr"/>
    </row>
    <row r="25">
      <c r="A25" t="inlineStr">
        <is>
          <t>John J. Farrell</t>
        </is>
      </c>
      <c r="B25" t="inlineStr">
        <is>
          <t>St. Luke's Episcopal-Presbyterian Hospitals</t>
        </is>
      </c>
      <c r="C25" s="19" t="inlineStr">
        <is>
          <t>FO2808</t>
        </is>
      </c>
      <c r="D25" t="n">
        <v>10.5</v>
      </c>
      <c r="E25" t="inlineStr">
        <is>
          <t>EFIL:E-filed Filing Fee</t>
        </is>
      </c>
      <c r="F25" t="inlineStr">
        <is>
          <t>Court Fee</t>
        </is>
      </c>
    </row>
    <row r="26">
      <c r="A26" t="inlineStr">
        <is>
          <t>John J. Farrell</t>
        </is>
      </c>
      <c r="B26" t="inlineStr">
        <is>
          <t>St. Luke's Episcopal-Presbyterian Hospitals</t>
        </is>
      </c>
      <c r="C26" s="19" t="inlineStr">
        <is>
          <t>FO2808</t>
        </is>
      </c>
      <c r="D26" t="n">
        <v>49</v>
      </c>
      <c r="E26" t="inlineStr">
        <is>
          <t>SHFE:Sheriff's Fee</t>
        </is>
      </c>
      <c r="F26" t="inlineStr">
        <is>
          <t>gmt @ mr poe</t>
        </is>
      </c>
    </row>
    <row r="27">
      <c r="A27" t="inlineStr">
        <is>
          <t>Ciera Franklin</t>
        </is>
      </c>
      <c r="B27" t="inlineStr">
        <is>
          <t>St. Luke's Episcopal-Presbyterian Hospitals</t>
        </is>
      </c>
      <c r="C27" s="19" t="inlineStr">
        <is>
          <t>FP2595</t>
        </is>
      </c>
      <c r="D27" t="n">
        <v>70</v>
      </c>
      <c r="E27" t="inlineStr">
        <is>
          <t>ESPS:ACH Special Prcss Fee</t>
        </is>
      </c>
      <c r="F27" t="inlineStr">
        <is>
          <t>alias</t>
        </is>
      </c>
    </row>
    <row r="28">
      <c r="A28" t="inlineStr">
        <is>
          <t>Colleen M. Grams</t>
        </is>
      </c>
      <c r="B28" t="inlineStr">
        <is>
          <t>St. Luke's Episcopal-Presbyterian Hospitals</t>
        </is>
      </c>
      <c r="C28" s="19" t="inlineStr">
        <is>
          <t>GAS847</t>
        </is>
      </c>
      <c r="D28" t="n">
        <v>59</v>
      </c>
      <c r="E28" t="inlineStr">
        <is>
          <t>EFIL:E-filed Filing Fee</t>
        </is>
      </c>
      <c r="F28" t="inlineStr"/>
    </row>
    <row r="29">
      <c r="A29" t="inlineStr">
        <is>
          <t>Colleen M. Grams</t>
        </is>
      </c>
      <c r="B29" t="inlineStr">
        <is>
          <t>St. Luke's Episcopal-Presbyterian Hospitals</t>
        </is>
      </c>
      <c r="C29" s="19" t="inlineStr">
        <is>
          <t>GAS847</t>
        </is>
      </c>
      <c r="D29" t="n">
        <v>105</v>
      </c>
      <c r="E29" t="inlineStr">
        <is>
          <t>ESPS:ACH Special Prcss Fee</t>
        </is>
      </c>
      <c r="F29" t="inlineStr"/>
    </row>
    <row r="30">
      <c r="A30" t="inlineStr">
        <is>
          <t>Nikiel Grandberry</t>
        </is>
      </c>
      <c r="B30" t="inlineStr">
        <is>
          <t>St. Luke's Episcopal-Presbyterian Hospitals</t>
        </is>
      </c>
      <c r="C30" s="19" t="inlineStr">
        <is>
          <t>GAU508</t>
        </is>
      </c>
      <c r="D30" t="n">
        <v>54</v>
      </c>
      <c r="E30" t="inlineStr">
        <is>
          <t>EFIL:E-filed Filing Fee</t>
        </is>
      </c>
      <c r="F30" t="inlineStr"/>
    </row>
    <row r="31">
      <c r="A31" t="inlineStr">
        <is>
          <t>Nikiel Grandberry</t>
        </is>
      </c>
      <c r="B31" t="inlineStr">
        <is>
          <t>St. Luke's Episcopal-Presbyterian Hospitals</t>
        </is>
      </c>
      <c r="C31" s="19" t="inlineStr">
        <is>
          <t>GAU508</t>
        </is>
      </c>
      <c r="D31" t="n">
        <v>70</v>
      </c>
      <c r="E31" t="inlineStr">
        <is>
          <t>ESPS:ACH Special Prcss Fee</t>
        </is>
      </c>
      <c r="F31" t="inlineStr"/>
    </row>
    <row r="32">
      <c r="A32" t="inlineStr">
        <is>
          <t>Anthony Grant</t>
        </is>
      </c>
      <c r="B32" t="inlineStr">
        <is>
          <t>St. Luke's Episcopal-Presbyterian Hospitals</t>
        </is>
      </c>
      <c r="C32" s="19" t="inlineStr">
        <is>
          <t>GAQ188</t>
        </is>
      </c>
      <c r="D32" t="n">
        <v>104</v>
      </c>
      <c r="E32" t="inlineStr">
        <is>
          <t>EFIL:E-filed Filing Fee</t>
        </is>
      </c>
      <c r="F32" t="inlineStr"/>
    </row>
    <row r="33">
      <c r="A33" t="inlineStr">
        <is>
          <t>Anthony Grant</t>
        </is>
      </c>
      <c r="B33" t="inlineStr">
        <is>
          <t>St. Luke's Episcopal-Presbyterian Hospitals</t>
        </is>
      </c>
      <c r="C33" s="19" t="inlineStr">
        <is>
          <t>GAQ188</t>
        </is>
      </c>
      <c r="D33" t="n">
        <v>70</v>
      </c>
      <c r="E33" t="inlineStr">
        <is>
          <t>ESPS:ACH Special Prcss Fee</t>
        </is>
      </c>
      <c r="F33" t="inlineStr"/>
    </row>
    <row r="34">
      <c r="A34" t="inlineStr">
        <is>
          <t>Jaime R. Hamilton</t>
        </is>
      </c>
      <c r="B34" t="inlineStr">
        <is>
          <t>St. Luke's Episcopal-Presbyterian Hospitals</t>
        </is>
      </c>
      <c r="C34" s="19" t="inlineStr">
        <is>
          <t>HKW387</t>
        </is>
      </c>
      <c r="D34" t="n">
        <v>59</v>
      </c>
      <c r="E34" t="inlineStr">
        <is>
          <t>EFIL:E-filed Filing Fee</t>
        </is>
      </c>
      <c r="F34" t="inlineStr"/>
    </row>
    <row r="35">
      <c r="A35" t="inlineStr">
        <is>
          <t>Jaime R. Hamilton</t>
        </is>
      </c>
      <c r="B35" t="inlineStr">
        <is>
          <t>St. Luke's Episcopal-Presbyterian Hospitals</t>
        </is>
      </c>
      <c r="C35" s="19" t="inlineStr">
        <is>
          <t>HKW387</t>
        </is>
      </c>
      <c r="D35" t="n">
        <v>70</v>
      </c>
      <c r="E35" t="inlineStr">
        <is>
          <t>ESPS:ACH Special Prcss Fee</t>
        </is>
      </c>
      <c r="F35" t="inlineStr"/>
    </row>
    <row r="36">
      <c r="A36" t="inlineStr">
        <is>
          <t>Angela M. Holbert</t>
        </is>
      </c>
      <c r="B36" t="inlineStr">
        <is>
          <t>St. Luke's Episcopal-Presbyterian Hospitals</t>
        </is>
      </c>
      <c r="C36" s="19" t="inlineStr">
        <is>
          <t>HKW041</t>
        </is>
      </c>
      <c r="D36" t="n">
        <v>49</v>
      </c>
      <c r="E36" t="inlineStr">
        <is>
          <t>EFIL:E-filed Filing Fee</t>
        </is>
      </c>
      <c r="F36" t="inlineStr"/>
    </row>
    <row r="37">
      <c r="A37" t="inlineStr">
        <is>
          <t>Angela M. Holbert</t>
        </is>
      </c>
      <c r="B37" t="inlineStr">
        <is>
          <t>St. Luke's Episcopal-Presbyterian Hospitals</t>
        </is>
      </c>
      <c r="C37" s="19" t="inlineStr">
        <is>
          <t>HKW041</t>
        </is>
      </c>
      <c r="D37" t="n">
        <v>70</v>
      </c>
      <c r="E37" t="inlineStr">
        <is>
          <t>ESPS:ACH Special Prcss Fee</t>
        </is>
      </c>
      <c r="F37" t="inlineStr"/>
    </row>
    <row r="38">
      <c r="A38" t="inlineStr">
        <is>
          <t>John R. Howard</t>
        </is>
      </c>
      <c r="B38" t="inlineStr">
        <is>
          <t>St. Luke's Episcopal-Presbyterian Hospitals</t>
        </is>
      </c>
      <c r="C38" s="19" t="inlineStr">
        <is>
          <t>HKV612</t>
        </is>
      </c>
      <c r="D38" t="n">
        <v>59</v>
      </c>
      <c r="E38" t="inlineStr">
        <is>
          <t>EFIL:E-filed Filing Fee</t>
        </is>
      </c>
      <c r="F38" t="inlineStr"/>
    </row>
    <row r="39">
      <c r="A39" t="inlineStr">
        <is>
          <t>John R. Howard</t>
        </is>
      </c>
      <c r="B39" t="inlineStr">
        <is>
          <t>St. Luke's Episcopal-Presbyterian Hospitals</t>
        </is>
      </c>
      <c r="C39" s="19" t="inlineStr">
        <is>
          <t>HKV612</t>
        </is>
      </c>
      <c r="D39" t="n">
        <v>70</v>
      </c>
      <c r="E39" t="inlineStr">
        <is>
          <t>ESPS:ACH Special Prcss Fee</t>
        </is>
      </c>
      <c r="F39" t="inlineStr"/>
    </row>
    <row r="40">
      <c r="A40" t="inlineStr">
        <is>
          <t>Samuel J. Huizenga</t>
        </is>
      </c>
      <c r="B40" t="inlineStr">
        <is>
          <t>St. Luke's Episcopal-Presbyterian Hospitals</t>
        </is>
      </c>
      <c r="C40" s="19" t="inlineStr">
        <is>
          <t>HKW800</t>
        </is>
      </c>
      <c r="D40" t="n">
        <v>54</v>
      </c>
      <c r="E40" t="inlineStr">
        <is>
          <t>EFIL:E-filed Filing Fee</t>
        </is>
      </c>
      <c r="F40" t="inlineStr"/>
    </row>
    <row r="41">
      <c r="A41" t="inlineStr">
        <is>
          <t>Samuel J. Huizenga</t>
        </is>
      </c>
      <c r="B41" t="inlineStr">
        <is>
          <t>St. Luke's Episcopal-Presbyterian Hospitals</t>
        </is>
      </c>
      <c r="C41" s="19" t="inlineStr">
        <is>
          <t>HKW800</t>
        </is>
      </c>
      <c r="D41" t="n">
        <v>70</v>
      </c>
      <c r="E41" t="inlineStr">
        <is>
          <t>ESPS:ACH Special Prcss Fee</t>
        </is>
      </c>
      <c r="F41" t="inlineStr"/>
    </row>
    <row r="42">
      <c r="A42" t="inlineStr">
        <is>
          <t>Zachary M. Huning</t>
        </is>
      </c>
      <c r="B42" t="inlineStr">
        <is>
          <t>St. Luke's Episcopal-Presbyterian Hospitals</t>
        </is>
      </c>
      <c r="C42" s="19" t="inlineStr">
        <is>
          <t>HKV628</t>
        </is>
      </c>
      <c r="D42" t="n">
        <v>80.5</v>
      </c>
      <c r="E42" t="inlineStr">
        <is>
          <t>ESPS:ACH Special Prcss Fee</t>
        </is>
      </c>
      <c r="F42" t="inlineStr"/>
    </row>
    <row r="43">
      <c r="A43" t="inlineStr">
        <is>
          <t>Veroniqua L. Kaighin</t>
        </is>
      </c>
      <c r="B43" t="inlineStr">
        <is>
          <t>St. Luke's Episcopal-Presbyterian Hospitals</t>
        </is>
      </c>
      <c r="C43" s="19" t="inlineStr">
        <is>
          <t>KP9825</t>
        </is>
      </c>
      <c r="D43" t="n">
        <v>54</v>
      </c>
      <c r="E43" t="inlineStr">
        <is>
          <t>EFIL:E-filed Filing Fee</t>
        </is>
      </c>
      <c r="F43" t="inlineStr"/>
    </row>
    <row r="44">
      <c r="A44" t="inlineStr">
        <is>
          <t>Veroniqua L. Kaighin</t>
        </is>
      </c>
      <c r="B44" t="inlineStr">
        <is>
          <t>St. Luke's Episcopal-Presbyterian Hospitals</t>
        </is>
      </c>
      <c r="C44" s="19" t="inlineStr">
        <is>
          <t>KP9825</t>
        </is>
      </c>
      <c r="D44" t="n">
        <v>70</v>
      </c>
      <c r="E44" t="inlineStr">
        <is>
          <t>ESPS:ACH Special Prcss Fee</t>
        </is>
      </c>
      <c r="F44" t="inlineStr"/>
    </row>
    <row r="45">
      <c r="A45" t="inlineStr">
        <is>
          <t>Bradley Kemph</t>
        </is>
      </c>
      <c r="B45" t="inlineStr">
        <is>
          <t>St. Luke's Episcopal-Presbyterian Hospitals</t>
        </is>
      </c>
      <c r="C45" s="19" t="inlineStr">
        <is>
          <t>KP9580</t>
        </is>
      </c>
      <c r="D45" t="n">
        <v>54</v>
      </c>
      <c r="E45" t="inlineStr">
        <is>
          <t>EFIL:E-filed Filing Fee</t>
        </is>
      </c>
      <c r="F45" t="inlineStr"/>
    </row>
    <row r="46">
      <c r="A46" t="inlineStr">
        <is>
          <t>Bradley Kemph</t>
        </is>
      </c>
      <c r="B46" t="inlineStr">
        <is>
          <t>St. Luke's Episcopal-Presbyterian Hospitals</t>
        </is>
      </c>
      <c r="C46" s="19" t="inlineStr">
        <is>
          <t>KP9580</t>
        </is>
      </c>
      <c r="D46" t="n">
        <v>70</v>
      </c>
      <c r="E46" t="inlineStr">
        <is>
          <t>ESPS:ACH Special Prcss Fee</t>
        </is>
      </c>
      <c r="F46" t="inlineStr"/>
    </row>
    <row r="47">
      <c r="A47" t="inlineStr">
        <is>
          <t>Elizabeth A. Kincaid</t>
        </is>
      </c>
      <c r="B47" t="inlineStr">
        <is>
          <t>St. Luke's Episcopal-Presbyterian Hospitals</t>
        </is>
      </c>
      <c r="C47" s="19" t="inlineStr">
        <is>
          <t>KQ3497</t>
        </is>
      </c>
      <c r="D47" t="n">
        <v>54</v>
      </c>
      <c r="E47" t="inlineStr">
        <is>
          <t>EFIL:E-filed Filing Fee</t>
        </is>
      </c>
      <c r="F47" t="inlineStr"/>
    </row>
    <row r="48">
      <c r="A48" t="inlineStr">
        <is>
          <t>Elizabeth A. Kincaid</t>
        </is>
      </c>
      <c r="B48" t="inlineStr">
        <is>
          <t>St. Luke's Episcopal-Presbyterian Hospitals</t>
        </is>
      </c>
      <c r="C48" s="19" t="inlineStr">
        <is>
          <t>KQ3497</t>
        </is>
      </c>
      <c r="D48" t="n">
        <v>70</v>
      </c>
      <c r="E48" t="inlineStr">
        <is>
          <t>ESPS:ACH Special Prcss Fee</t>
        </is>
      </c>
      <c r="F48" t="inlineStr"/>
    </row>
    <row r="49">
      <c r="A49" t="inlineStr">
        <is>
          <t>Bruce R. Landreth</t>
        </is>
      </c>
      <c r="B49" t="inlineStr">
        <is>
          <t>St. Luke's Episcopal-Presbyterian Hospitals</t>
        </is>
      </c>
      <c r="C49" s="19" t="inlineStr">
        <is>
          <t>LO5409</t>
        </is>
      </c>
      <c r="D49" t="n">
        <v>69</v>
      </c>
      <c r="E49" t="inlineStr">
        <is>
          <t>EFIL:E-filed Filing Fee</t>
        </is>
      </c>
      <c r="F49" t="inlineStr"/>
    </row>
    <row r="50">
      <c r="A50" t="inlineStr">
        <is>
          <t>Bruce R. Landreth</t>
        </is>
      </c>
      <c r="B50" t="inlineStr">
        <is>
          <t>St. Luke's Episcopal-Presbyterian Hospitals</t>
        </is>
      </c>
      <c r="C50" s="19" t="inlineStr">
        <is>
          <t>LO5409</t>
        </is>
      </c>
      <c r="D50" t="n">
        <v>105</v>
      </c>
      <c r="E50" t="inlineStr">
        <is>
          <t>ESPS:ACH Special Prcss Fee</t>
        </is>
      </c>
      <c r="F50" t="inlineStr"/>
    </row>
    <row r="51">
      <c r="A51" t="inlineStr">
        <is>
          <t>Jason D. Law</t>
        </is>
      </c>
      <c r="B51" t="inlineStr">
        <is>
          <t>St. Luke's Episcopal-Presbyterian Hospitals</t>
        </is>
      </c>
      <c r="C51" s="19" t="inlineStr">
        <is>
          <t>LO3468</t>
        </is>
      </c>
      <c r="D51" t="n">
        <v>69</v>
      </c>
      <c r="E51" t="inlineStr">
        <is>
          <t>EFIL:E-filed Filing Fee</t>
        </is>
      </c>
      <c r="F51" t="inlineStr"/>
    </row>
    <row r="52">
      <c r="A52" t="inlineStr">
        <is>
          <t>Jason D. Law</t>
        </is>
      </c>
      <c r="B52" t="inlineStr">
        <is>
          <t>St. Luke's Episcopal-Presbyterian Hospitals</t>
        </is>
      </c>
      <c r="C52" s="19" t="inlineStr">
        <is>
          <t>LO3468</t>
        </is>
      </c>
      <c r="D52" t="n">
        <v>105</v>
      </c>
      <c r="E52" t="inlineStr">
        <is>
          <t>ESPS:ACH Special Prcss Fee</t>
        </is>
      </c>
      <c r="F52" t="inlineStr"/>
    </row>
    <row r="53">
      <c r="A53" t="inlineStr">
        <is>
          <t>Beau Lewis</t>
        </is>
      </c>
      <c r="B53" t="inlineStr">
        <is>
          <t>St. Luke's Episcopal-Presbyterian Hospitals</t>
        </is>
      </c>
      <c r="C53" s="19" t="inlineStr">
        <is>
          <t>LO3259</t>
        </is>
      </c>
      <c r="D53" t="n">
        <v>69</v>
      </c>
      <c r="E53" t="inlineStr">
        <is>
          <t>EFIL:E-filed Filing Fee</t>
        </is>
      </c>
      <c r="F53" t="inlineStr"/>
    </row>
    <row r="54">
      <c r="A54" t="inlineStr">
        <is>
          <t>Beau Lewis</t>
        </is>
      </c>
      <c r="B54" t="inlineStr">
        <is>
          <t>St. Luke's Episcopal-Presbyterian Hospitals</t>
        </is>
      </c>
      <c r="C54" s="19" t="inlineStr">
        <is>
          <t>LO3259</t>
        </is>
      </c>
      <c r="D54" t="n">
        <v>105</v>
      </c>
      <c r="E54" t="inlineStr">
        <is>
          <t>ESPS:ACH Special Prcss Fee</t>
        </is>
      </c>
      <c r="F54" t="inlineStr"/>
    </row>
    <row r="55">
      <c r="A55" t="inlineStr">
        <is>
          <t>Sarah D. Marshall</t>
        </is>
      </c>
      <c r="B55" t="inlineStr">
        <is>
          <t>The University of Kansas Hospital Authority</t>
        </is>
      </c>
      <c r="C55" s="19" t="inlineStr">
        <is>
          <t>MHM814</t>
        </is>
      </c>
      <c r="D55" t="n">
        <v>15</v>
      </c>
      <c r="E55" t="inlineStr">
        <is>
          <t>SHFE:Sheriff's Fee</t>
        </is>
      </c>
      <c r="F55" t="inlineStr"/>
    </row>
    <row r="56">
      <c r="A56" t="inlineStr">
        <is>
          <t>Andrea J. Martin</t>
        </is>
      </c>
      <c r="B56" t="inlineStr">
        <is>
          <t>The University of Kansas Hospital Authority</t>
        </is>
      </c>
      <c r="C56" s="19" t="inlineStr">
        <is>
          <t>MGY245</t>
        </is>
      </c>
      <c r="D56" t="n">
        <v>70</v>
      </c>
      <c r="E56" t="inlineStr">
        <is>
          <t>ESPS:ACH Special Prcss Fee</t>
        </is>
      </c>
      <c r="F56" t="inlineStr"/>
    </row>
    <row r="57">
      <c r="A57" t="inlineStr">
        <is>
          <t>Jacqueline H. Martin</t>
        </is>
      </c>
      <c r="B57" t="inlineStr">
        <is>
          <t>The University of Kansas Hospital Authority</t>
        </is>
      </c>
      <c r="C57" s="19" t="inlineStr">
        <is>
          <t>MHH836</t>
        </is>
      </c>
      <c r="D57" t="n">
        <v>15</v>
      </c>
      <c r="E57" t="inlineStr">
        <is>
          <t>SHFE:Sheriff's Fee</t>
        </is>
      </c>
      <c r="F57" t="inlineStr"/>
    </row>
    <row r="58">
      <c r="A58" t="inlineStr">
        <is>
          <t>Alicia Martinez-Espino</t>
        </is>
      </c>
      <c r="B58" t="inlineStr">
        <is>
          <t>The University of Kansas Hospital Authority</t>
        </is>
      </c>
      <c r="C58" s="19" t="inlineStr">
        <is>
          <t>MHL112</t>
        </is>
      </c>
      <c r="D58" t="n">
        <v>15</v>
      </c>
      <c r="E58" t="inlineStr">
        <is>
          <t>SHFE:Sheriff's Fee</t>
        </is>
      </c>
      <c r="F58" t="inlineStr"/>
    </row>
    <row r="59">
      <c r="A59" t="inlineStr">
        <is>
          <t>Erika A. Massow</t>
        </is>
      </c>
      <c r="B59" t="inlineStr">
        <is>
          <t>The University of Kansas Hospital Authority</t>
        </is>
      </c>
      <c r="C59" s="19" t="inlineStr">
        <is>
          <t>MGW734</t>
        </is>
      </c>
      <c r="D59" t="n">
        <v>70</v>
      </c>
      <c r="E59" t="inlineStr">
        <is>
          <t>ESPS:ACH Special Prcss Fee</t>
        </is>
      </c>
      <c r="F59" t="inlineStr"/>
    </row>
    <row r="60">
      <c r="A60" t="inlineStr">
        <is>
          <t>Michael R. McComish</t>
        </is>
      </c>
      <c r="B60" t="inlineStr">
        <is>
          <t>St. Luke's Episcopal-Presbyterian Hospitals</t>
        </is>
      </c>
      <c r="C60" s="19" t="inlineStr">
        <is>
          <t>MHD322</t>
        </is>
      </c>
      <c r="D60" t="n">
        <v>54</v>
      </c>
      <c r="E60" t="inlineStr">
        <is>
          <t>EFIL:E-filed Filing Fee</t>
        </is>
      </c>
      <c r="F60" t="inlineStr"/>
    </row>
    <row r="61">
      <c r="A61" t="inlineStr">
        <is>
          <t>Michael R. McComish</t>
        </is>
      </c>
      <c r="B61" t="inlineStr">
        <is>
          <t>St. Luke's Episcopal-Presbyterian Hospitals</t>
        </is>
      </c>
      <c r="C61" s="19" t="inlineStr">
        <is>
          <t>MHD322</t>
        </is>
      </c>
      <c r="D61" t="n">
        <v>70</v>
      </c>
      <c r="E61" t="inlineStr">
        <is>
          <t>ESPS:ACH Special Prcss Fee</t>
        </is>
      </c>
      <c r="F61" t="inlineStr"/>
    </row>
    <row r="62">
      <c r="A62" t="inlineStr">
        <is>
          <t>Peggy C. McDonnold</t>
        </is>
      </c>
      <c r="B62" t="inlineStr">
        <is>
          <t>The University of Kansas Hospital Authority</t>
        </is>
      </c>
      <c r="C62" s="19" t="inlineStr">
        <is>
          <t>MGP269</t>
        </is>
      </c>
      <c r="D62" t="n">
        <v>10.5</v>
      </c>
      <c r="E62" t="inlineStr">
        <is>
          <t>EGRN:E-filed Garnishment Fee</t>
        </is>
      </c>
      <c r="F62" t="inlineStr">
        <is>
          <t>Court Fee</t>
        </is>
      </c>
    </row>
    <row r="63">
      <c r="A63" t="inlineStr">
        <is>
          <t>Peggy C. McDonnold</t>
        </is>
      </c>
      <c r="B63" t="inlineStr">
        <is>
          <t>The University of Kansas Hospital Authority</t>
        </is>
      </c>
      <c r="C63" s="19" t="inlineStr">
        <is>
          <t>MGP269</t>
        </is>
      </c>
      <c r="D63" t="n">
        <v>42</v>
      </c>
      <c r="E63" t="inlineStr">
        <is>
          <t>GARN:Garnishment</t>
        </is>
      </c>
      <c r="F63" t="inlineStr">
        <is>
          <t>WG</t>
        </is>
      </c>
    </row>
    <row r="64">
      <c r="A64" t="inlineStr">
        <is>
          <t>Lisa M. McKnight</t>
        </is>
      </c>
      <c r="B64" t="inlineStr">
        <is>
          <t>St. Luke's Episcopal-Presbyterian Hospitals</t>
        </is>
      </c>
      <c r="C64" s="19" t="inlineStr">
        <is>
          <t>MHD391</t>
        </is>
      </c>
      <c r="D64" t="n">
        <v>10</v>
      </c>
      <c r="E64" t="inlineStr">
        <is>
          <t>EFIL:E-filed Filing Fee</t>
        </is>
      </c>
      <c r="F64" t="inlineStr">
        <is>
          <t>add't fee 2nd D</t>
        </is>
      </c>
    </row>
    <row r="65">
      <c r="A65" t="inlineStr">
        <is>
          <t>Brittaney N. Medrano</t>
        </is>
      </c>
      <c r="B65" t="inlineStr">
        <is>
          <t>The University of Kansas Hospital Authority</t>
        </is>
      </c>
      <c r="C65" s="19" t="inlineStr">
        <is>
          <t>MHK272</t>
        </is>
      </c>
      <c r="D65" t="n">
        <v>15</v>
      </c>
      <c r="E65" t="inlineStr">
        <is>
          <t>SHFE:Sheriff's Fee</t>
        </is>
      </c>
      <c r="F65" t="inlineStr"/>
    </row>
    <row r="66">
      <c r="A66" t="inlineStr">
        <is>
          <t>Kristin C. Millard</t>
        </is>
      </c>
      <c r="B66" t="inlineStr">
        <is>
          <t>The University of Kansas Hospital Authority</t>
        </is>
      </c>
      <c r="C66" s="19" t="inlineStr">
        <is>
          <t>MHP208</t>
        </is>
      </c>
      <c r="D66" t="n">
        <v>15</v>
      </c>
      <c r="E66" t="inlineStr">
        <is>
          <t>SHFE:Sheriff's Fee</t>
        </is>
      </c>
      <c r="F66" t="inlineStr"/>
    </row>
    <row r="67">
      <c r="A67" t="inlineStr">
        <is>
          <t>Sarah E. Ming</t>
        </is>
      </c>
      <c r="B67" t="inlineStr">
        <is>
          <t>The University of Kansas Hospital Authority</t>
        </is>
      </c>
      <c r="C67" s="19" t="inlineStr">
        <is>
          <t>MHM880</t>
        </is>
      </c>
      <c r="D67" t="n">
        <v>15</v>
      </c>
      <c r="E67" t="inlineStr">
        <is>
          <t>SHFE:Sheriff's Fee</t>
        </is>
      </c>
      <c r="F67" t="inlineStr"/>
    </row>
    <row r="68">
      <c r="A68" t="inlineStr">
        <is>
          <t>Raven C. Minor</t>
        </is>
      </c>
      <c r="B68" t="inlineStr">
        <is>
          <t>St. Luke's Episcopal-Presbyterian Hospitals</t>
        </is>
      </c>
      <c r="C68" s="19" t="inlineStr">
        <is>
          <t>MHM753</t>
        </is>
      </c>
      <c r="D68" t="n">
        <v>104</v>
      </c>
      <c r="E68" t="inlineStr">
        <is>
          <t>EFIL:E-filed Filing Fee</t>
        </is>
      </c>
      <c r="F68" t="inlineStr"/>
    </row>
    <row r="69">
      <c r="A69" t="inlineStr">
        <is>
          <t>Raven C. Minor</t>
        </is>
      </c>
      <c r="B69" t="inlineStr">
        <is>
          <t>St. Luke's Episcopal-Presbyterian Hospitals</t>
        </is>
      </c>
      <c r="C69" s="19" t="inlineStr">
        <is>
          <t>MHM753</t>
        </is>
      </c>
      <c r="D69" t="n">
        <v>70</v>
      </c>
      <c r="E69" t="inlineStr">
        <is>
          <t>ESPS:ACH Special Prcss Fee</t>
        </is>
      </c>
      <c r="F69" t="inlineStr"/>
    </row>
    <row r="70">
      <c r="A70" t="inlineStr">
        <is>
          <t>Anesha N.J. Moore</t>
        </is>
      </c>
      <c r="B70" t="inlineStr">
        <is>
          <t>The University of Kansas Hospital Authority</t>
        </is>
      </c>
      <c r="C70" s="19" t="inlineStr">
        <is>
          <t>MFU212</t>
        </is>
      </c>
      <c r="D70" t="n">
        <v>70</v>
      </c>
      <c r="E70" t="inlineStr">
        <is>
          <t>ESPS:ACH Special Prcss Fee</t>
        </is>
      </c>
      <c r="F70" t="inlineStr">
        <is>
          <t>alias</t>
        </is>
      </c>
    </row>
    <row r="71">
      <c r="A71" t="inlineStr">
        <is>
          <t>Jonathan R. Morrison</t>
        </is>
      </c>
      <c r="B71" t="inlineStr">
        <is>
          <t>The University of Kansas Hospital Authority</t>
        </is>
      </c>
      <c r="C71" s="19" t="inlineStr">
        <is>
          <t>MFC518</t>
        </is>
      </c>
      <c r="D71" t="n">
        <v>0.74</v>
      </c>
      <c r="E71" t="inlineStr">
        <is>
          <t>STMP:Postage Cost</t>
        </is>
      </c>
      <c r="F71" t="inlineStr"/>
    </row>
    <row r="72">
      <c r="A72" t="inlineStr">
        <is>
          <t>Maureen Mulligan</t>
        </is>
      </c>
      <c r="B72" t="inlineStr">
        <is>
          <t>St. Luke's Episcopal-Presbyterian Hospitals</t>
        </is>
      </c>
      <c r="C72" s="19" t="inlineStr">
        <is>
          <t>MHE820</t>
        </is>
      </c>
      <c r="D72" t="n">
        <v>54</v>
      </c>
      <c r="E72" t="inlineStr">
        <is>
          <t>EFIL:E-filed Filing Fee</t>
        </is>
      </c>
      <c r="F72" t="inlineStr"/>
    </row>
    <row r="73">
      <c r="A73" t="inlineStr">
        <is>
          <t>Maureen Mulligan</t>
        </is>
      </c>
      <c r="B73" t="inlineStr">
        <is>
          <t>St. Luke's Episcopal-Presbyterian Hospitals</t>
        </is>
      </c>
      <c r="C73" s="19" t="inlineStr">
        <is>
          <t>MHE820</t>
        </is>
      </c>
      <c r="D73" t="n">
        <v>70</v>
      </c>
      <c r="E73" t="inlineStr">
        <is>
          <t>ESPS:ACH Special Prcss Fee</t>
        </is>
      </c>
      <c r="F73" t="inlineStr"/>
    </row>
    <row r="74">
      <c r="A74" t="inlineStr">
        <is>
          <t>Kelsey N. Murray</t>
        </is>
      </c>
      <c r="B74" t="inlineStr">
        <is>
          <t>The University of Kansas Hospital Authority</t>
        </is>
      </c>
      <c r="C74" s="19" t="inlineStr">
        <is>
          <t>MHI834</t>
        </is>
      </c>
      <c r="D74" t="n">
        <v>15</v>
      </c>
      <c r="E74" t="inlineStr">
        <is>
          <t>SHFE:Sheriff's Fee</t>
        </is>
      </c>
      <c r="F74" t="inlineStr"/>
    </row>
    <row r="75">
      <c r="A75" t="inlineStr">
        <is>
          <t>Kristina H. Nakanishi</t>
        </is>
      </c>
      <c r="B75" t="inlineStr">
        <is>
          <t>St. Luke's Episcopal-Presbyterian Hospitals</t>
        </is>
      </c>
      <c r="C75" s="19" t="inlineStr">
        <is>
          <t>N86465</t>
        </is>
      </c>
      <c r="D75" t="n">
        <v>49</v>
      </c>
      <c r="E75" t="inlineStr">
        <is>
          <t>EFIL:E-filed Filing Fee</t>
        </is>
      </c>
      <c r="F75" t="inlineStr"/>
    </row>
    <row r="76">
      <c r="A76" t="inlineStr">
        <is>
          <t>Kristina H. Nakanishi</t>
        </is>
      </c>
      <c r="B76" t="inlineStr">
        <is>
          <t>St. Luke's Episcopal-Presbyterian Hospitals</t>
        </is>
      </c>
      <c r="C76" s="19" t="inlineStr">
        <is>
          <t>N86465</t>
        </is>
      </c>
      <c r="D76" t="n">
        <v>105</v>
      </c>
      <c r="E76" t="inlineStr">
        <is>
          <t>ESPS:ACH Special Prcss Fee</t>
        </is>
      </c>
      <c r="F76" t="inlineStr"/>
    </row>
    <row r="77">
      <c r="A77" t="inlineStr">
        <is>
          <t>Corey M. Nazaruk</t>
        </is>
      </c>
      <c r="B77" t="inlineStr">
        <is>
          <t>St. Luke's Episcopal-Presbyterian Hospitals</t>
        </is>
      </c>
      <c r="C77" s="19" t="inlineStr">
        <is>
          <t>N86543</t>
        </is>
      </c>
      <c r="D77" t="n">
        <v>59</v>
      </c>
      <c r="E77" t="inlineStr">
        <is>
          <t>EFIL:E-filed Filing Fee</t>
        </is>
      </c>
      <c r="F77" t="inlineStr"/>
    </row>
    <row r="78">
      <c r="A78" t="inlineStr">
        <is>
          <t>Corey M. Nazaruk</t>
        </is>
      </c>
      <c r="B78" t="inlineStr">
        <is>
          <t>St. Luke's Episcopal-Presbyterian Hospitals</t>
        </is>
      </c>
      <c r="C78" s="19" t="inlineStr">
        <is>
          <t>N86543</t>
        </is>
      </c>
      <c r="D78" t="n">
        <v>70</v>
      </c>
      <c r="E78" t="inlineStr">
        <is>
          <t>ESPS:ACH Special Prcss Fee</t>
        </is>
      </c>
      <c r="F78" t="inlineStr"/>
    </row>
    <row r="79">
      <c r="A79" t="inlineStr">
        <is>
          <t>Elozia M. Nelson</t>
        </is>
      </c>
      <c r="B79" t="inlineStr">
        <is>
          <t>The University of Kansas Hospital Authority</t>
        </is>
      </c>
      <c r="C79" s="19" t="inlineStr">
        <is>
          <t>N87353</t>
        </is>
      </c>
      <c r="D79" t="n">
        <v>44</v>
      </c>
      <c r="E79" t="inlineStr">
        <is>
          <t>EFIL:E-filed Filing Fee</t>
        </is>
      </c>
      <c r="F79" t="inlineStr"/>
    </row>
    <row r="80">
      <c r="A80" t="inlineStr">
        <is>
          <t>Elozia M. Nelson</t>
        </is>
      </c>
      <c r="B80" t="inlineStr">
        <is>
          <t>The University of Kansas Hospital Authority</t>
        </is>
      </c>
      <c r="C80" s="19" t="inlineStr">
        <is>
          <t>N87353</t>
        </is>
      </c>
      <c r="D80" t="n">
        <v>70</v>
      </c>
      <c r="E80" t="inlineStr">
        <is>
          <t>ESPS:ACH Special Prcss Fee</t>
        </is>
      </c>
      <c r="F80" t="inlineStr"/>
    </row>
    <row r="81">
      <c r="A81" t="inlineStr">
        <is>
          <t>Melissa O. Neverls</t>
        </is>
      </c>
      <c r="B81" t="inlineStr">
        <is>
          <t>St. Luke's Episcopal-Presbyterian Hospitals</t>
        </is>
      </c>
      <c r="C81" s="19" t="inlineStr">
        <is>
          <t>N86633</t>
        </is>
      </c>
      <c r="D81" t="n">
        <v>59</v>
      </c>
      <c r="E81" t="inlineStr">
        <is>
          <t>EFIL:E-filed Filing Fee</t>
        </is>
      </c>
      <c r="F81" t="inlineStr"/>
    </row>
    <row r="82">
      <c r="A82" t="inlineStr">
        <is>
          <t>Melissa O. Neverls</t>
        </is>
      </c>
      <c r="B82" t="inlineStr">
        <is>
          <t>St. Luke's Episcopal-Presbyterian Hospitals</t>
        </is>
      </c>
      <c r="C82" s="19" t="inlineStr">
        <is>
          <t>N86633</t>
        </is>
      </c>
      <c r="D82" t="n">
        <v>70</v>
      </c>
      <c r="E82" t="inlineStr">
        <is>
          <t>ESPS:ACH Special Prcss Fee</t>
        </is>
      </c>
      <c r="F82" t="inlineStr"/>
    </row>
    <row r="83">
      <c r="A83" t="inlineStr">
        <is>
          <t>Sarah B. Niemeier</t>
        </is>
      </c>
      <c r="B83" t="inlineStr">
        <is>
          <t>St. Luke's Episcopal-Presbyterian Hospitals</t>
        </is>
      </c>
      <c r="C83" s="19" t="inlineStr">
        <is>
          <t>N86347</t>
        </is>
      </c>
      <c r="D83" t="n">
        <v>54</v>
      </c>
      <c r="E83" t="inlineStr">
        <is>
          <t>EFIL:E-filed Filing Fee</t>
        </is>
      </c>
      <c r="F83" t="inlineStr"/>
    </row>
    <row r="84">
      <c r="A84" t="inlineStr">
        <is>
          <t>Sarah B. Niemeier</t>
        </is>
      </c>
      <c r="B84" t="inlineStr">
        <is>
          <t>St. Luke's Episcopal-Presbyterian Hospitals</t>
        </is>
      </c>
      <c r="C84" s="19" t="inlineStr">
        <is>
          <t>N86347</t>
        </is>
      </c>
      <c r="D84" t="n">
        <v>70</v>
      </c>
      <c r="E84" t="inlineStr">
        <is>
          <t>ESPS:ACH Special Prcss Fee</t>
        </is>
      </c>
      <c r="F84" t="inlineStr"/>
    </row>
    <row r="85">
      <c r="A85" t="inlineStr">
        <is>
          <t>Travis W. Nirk</t>
        </is>
      </c>
      <c r="B85" t="inlineStr">
        <is>
          <t>The University of Kansas Hospital Authority</t>
        </is>
      </c>
      <c r="C85" s="19" t="inlineStr">
        <is>
          <t>N88078</t>
        </is>
      </c>
      <c r="D85" t="n">
        <v>15</v>
      </c>
      <c r="E85" t="inlineStr">
        <is>
          <t>SHFE:Sheriff's Fee</t>
        </is>
      </c>
      <c r="F85" t="inlineStr"/>
    </row>
    <row r="86">
      <c r="A86" t="inlineStr">
        <is>
          <t>Jenelle I. Noiel</t>
        </is>
      </c>
      <c r="B86" t="inlineStr">
        <is>
          <t>The University of Kansas Hospital Authority</t>
        </is>
      </c>
      <c r="C86" s="19" t="inlineStr">
        <is>
          <t>N85658</t>
        </is>
      </c>
      <c r="D86" t="n">
        <v>70</v>
      </c>
      <c r="E86" t="inlineStr">
        <is>
          <t>ESPS:ACH Special Prcss Fee</t>
        </is>
      </c>
      <c r="F86" t="inlineStr">
        <is>
          <t>alias</t>
        </is>
      </c>
    </row>
    <row r="87">
      <c r="A87" t="inlineStr">
        <is>
          <t>Lynette S. Occhipinto</t>
        </is>
      </c>
      <c r="B87" t="inlineStr">
        <is>
          <t>The University of Kansas Hospital Authority</t>
        </is>
      </c>
      <c r="C87" s="19" t="inlineStr">
        <is>
          <t>O53261</t>
        </is>
      </c>
      <c r="D87" t="n">
        <v>9.5</v>
      </c>
      <c r="E87" t="inlineStr">
        <is>
          <t>ETRC:E-filed Tnscpt/AuthActCon</t>
        </is>
      </c>
      <c r="F87" t="inlineStr"/>
    </row>
    <row r="88">
      <c r="A88" t="inlineStr">
        <is>
          <t>Wendy D. Page</t>
        </is>
      </c>
      <c r="B88" t="inlineStr">
        <is>
          <t>St. Luke's Episcopal-Presbyterian Hospitals</t>
        </is>
      </c>
      <c r="C88" s="19" t="inlineStr">
        <is>
          <t>PQ7349</t>
        </is>
      </c>
      <c r="D88" t="n">
        <v>34</v>
      </c>
      <c r="E88" t="inlineStr">
        <is>
          <t>EFIL:E-filed Filing Fee</t>
        </is>
      </c>
      <c r="F88" t="inlineStr"/>
    </row>
    <row r="89">
      <c r="A89" t="inlineStr">
        <is>
          <t>Wendy D. Page</t>
        </is>
      </c>
      <c r="B89" t="inlineStr">
        <is>
          <t>St. Luke's Episcopal-Presbyterian Hospitals</t>
        </is>
      </c>
      <c r="C89" s="19" t="inlineStr">
        <is>
          <t>PQ7349</t>
        </is>
      </c>
      <c r="D89" t="n">
        <v>70</v>
      </c>
      <c r="E89" t="inlineStr">
        <is>
          <t>ESPS:ACH Special Prcss Fee</t>
        </is>
      </c>
      <c r="F89" t="inlineStr"/>
    </row>
    <row r="90">
      <c r="A90" t="inlineStr">
        <is>
          <t>Janell L. Pedigo</t>
        </is>
      </c>
      <c r="B90" t="inlineStr">
        <is>
          <t>The University of Kansas Hospital Authority</t>
        </is>
      </c>
      <c r="C90" s="19" t="inlineStr">
        <is>
          <t>PQ3407</t>
        </is>
      </c>
      <c r="D90" t="n">
        <v>15</v>
      </c>
      <c r="E90" t="inlineStr">
        <is>
          <t>SHFE:Sheriff's Fee</t>
        </is>
      </c>
      <c r="F90" t="inlineStr"/>
    </row>
    <row r="91">
      <c r="A91" t="inlineStr">
        <is>
          <t>Storm Powell</t>
        </is>
      </c>
      <c r="B91" t="inlineStr">
        <is>
          <t>The University of Kansas Hospital Authority</t>
        </is>
      </c>
      <c r="C91" s="19" t="inlineStr">
        <is>
          <t>PQ4225</t>
        </is>
      </c>
      <c r="D91" t="n">
        <v>15</v>
      </c>
      <c r="E91" t="inlineStr">
        <is>
          <t>SHFE:Sheriff's Fee</t>
        </is>
      </c>
      <c r="F91" t="inlineStr"/>
    </row>
    <row r="92">
      <c r="A92" t="inlineStr">
        <is>
          <t>Lorena A. Pryor</t>
        </is>
      </c>
      <c r="B92" t="inlineStr">
        <is>
          <t>The University of Kansas Hospital Authority</t>
        </is>
      </c>
      <c r="C92" s="19" t="inlineStr">
        <is>
          <t>PR2096</t>
        </is>
      </c>
      <c r="D92" t="n">
        <v>63</v>
      </c>
      <c r="E92" t="inlineStr">
        <is>
          <t>EFIL:E-filed Filing Fee</t>
        </is>
      </c>
      <c r="F92" t="inlineStr"/>
    </row>
    <row r="93">
      <c r="A93" t="inlineStr">
        <is>
          <t>Lorena A. Pryor</t>
        </is>
      </c>
      <c r="B93" t="inlineStr">
        <is>
          <t>The University of Kansas Hospital Authority</t>
        </is>
      </c>
      <c r="C93" s="19" t="inlineStr">
        <is>
          <t>PR2096</t>
        </is>
      </c>
      <c r="D93" t="n">
        <v>70</v>
      </c>
      <c r="E93" t="inlineStr">
        <is>
          <t>ESPS:ACH Special Prcss Fee</t>
        </is>
      </c>
      <c r="F93" t="inlineStr"/>
    </row>
    <row r="94">
      <c r="A94" t="inlineStr">
        <is>
          <t>Laura K. Rayburn</t>
        </is>
      </c>
      <c r="B94" t="inlineStr">
        <is>
          <t>The University of Kansas Hospital Authority</t>
        </is>
      </c>
      <c r="C94" s="19" t="inlineStr">
        <is>
          <t>RS7700</t>
        </is>
      </c>
      <c r="D94" t="n">
        <v>63</v>
      </c>
      <c r="E94" t="inlineStr">
        <is>
          <t>EFIL:E-filed Filing Fee</t>
        </is>
      </c>
      <c r="F94" t="inlineStr"/>
    </row>
    <row r="95">
      <c r="A95" t="inlineStr">
        <is>
          <t>Laura K. Rayburn</t>
        </is>
      </c>
      <c r="B95" t="inlineStr">
        <is>
          <t>The University of Kansas Hospital Authority</t>
        </is>
      </c>
      <c r="C95" s="19" t="inlineStr">
        <is>
          <t>RS7700</t>
        </is>
      </c>
      <c r="D95" t="n">
        <v>70</v>
      </c>
      <c r="E95" t="inlineStr">
        <is>
          <t>ESPS:ACH Special Prcss Fee</t>
        </is>
      </c>
      <c r="F95" t="inlineStr"/>
    </row>
    <row r="96">
      <c r="A96" t="inlineStr">
        <is>
          <t>Lynn Resser</t>
        </is>
      </c>
      <c r="B96" t="inlineStr">
        <is>
          <t>The University of Kansas Hospital Authority</t>
        </is>
      </c>
      <c r="C96" s="19" t="inlineStr">
        <is>
          <t>RS1680</t>
        </is>
      </c>
      <c r="D96" t="n">
        <v>0.74</v>
      </c>
      <c r="E96" t="inlineStr">
        <is>
          <t>STMP:Postage Cost</t>
        </is>
      </c>
      <c r="F96" t="inlineStr"/>
    </row>
    <row r="97">
      <c r="A97" t="inlineStr">
        <is>
          <t>Shelby J. Richardson</t>
        </is>
      </c>
      <c r="B97" t="inlineStr">
        <is>
          <t>The University of Kansas Hospital Authority</t>
        </is>
      </c>
      <c r="C97" s="19" t="inlineStr">
        <is>
          <t>RS1471</t>
        </is>
      </c>
      <c r="D97" t="n">
        <v>63</v>
      </c>
      <c r="E97" t="inlineStr">
        <is>
          <t>EFIL:E-filed Filing Fee</t>
        </is>
      </c>
      <c r="F97" t="inlineStr"/>
    </row>
    <row r="98">
      <c r="A98" t="inlineStr">
        <is>
          <t>Shelby J. Richardson</t>
        </is>
      </c>
      <c r="B98" t="inlineStr">
        <is>
          <t>The University of Kansas Hospital Authority</t>
        </is>
      </c>
      <c r="C98" s="19" t="inlineStr">
        <is>
          <t>RS1471</t>
        </is>
      </c>
      <c r="D98" t="n">
        <v>70</v>
      </c>
      <c r="E98" t="inlineStr">
        <is>
          <t>ESPS:ACH Special Prcss Fee</t>
        </is>
      </c>
      <c r="F98" t="inlineStr"/>
    </row>
    <row r="99">
      <c r="A99" t="inlineStr">
        <is>
          <t>Ebony S. Roberson</t>
        </is>
      </c>
      <c r="B99" t="inlineStr">
        <is>
          <t>The University of Kansas Hospital Authority</t>
        </is>
      </c>
      <c r="C99" s="19" t="inlineStr">
        <is>
          <t>RR5863</t>
        </is>
      </c>
      <c r="D99" t="n">
        <v>63</v>
      </c>
      <c r="E99" t="inlineStr">
        <is>
          <t>EFIL:E-filed Filing Fee</t>
        </is>
      </c>
      <c r="F99" t="inlineStr"/>
    </row>
    <row r="100">
      <c r="A100" t="inlineStr">
        <is>
          <t>Ebony S. Roberson</t>
        </is>
      </c>
      <c r="B100" t="inlineStr">
        <is>
          <t>The University of Kansas Hospital Authority</t>
        </is>
      </c>
      <c r="C100" s="19" t="inlineStr">
        <is>
          <t>RR5863</t>
        </is>
      </c>
      <c r="D100" t="n">
        <v>70</v>
      </c>
      <c r="E100" t="inlineStr">
        <is>
          <t>ESPS:ACH Special Prcss Fee</t>
        </is>
      </c>
      <c r="F100" t="inlineStr"/>
    </row>
    <row r="101">
      <c r="A101" t="inlineStr">
        <is>
          <t>Erika Y. Rodriguez</t>
        </is>
      </c>
      <c r="B101" t="inlineStr">
        <is>
          <t>The University of Kansas Hospital Authority</t>
        </is>
      </c>
      <c r="C101" s="19" t="inlineStr">
        <is>
          <t>RS7414</t>
        </is>
      </c>
      <c r="D101" t="n">
        <v>15</v>
      </c>
      <c r="E101" t="inlineStr">
        <is>
          <t>SHFE:Sheriff's Fee</t>
        </is>
      </c>
      <c r="F101" t="inlineStr"/>
    </row>
    <row r="102">
      <c r="A102" t="inlineStr">
        <is>
          <t>Katie J. Rodriguez</t>
        </is>
      </c>
      <c r="B102" t="inlineStr">
        <is>
          <t>The University of Kansas Hospital Authority</t>
        </is>
      </c>
      <c r="C102" s="19" t="inlineStr">
        <is>
          <t>RT2114</t>
        </is>
      </c>
      <c r="D102" t="n">
        <v>63</v>
      </c>
      <c r="E102" t="inlineStr">
        <is>
          <t>EFIL:E-filed Filing Fee</t>
        </is>
      </c>
      <c r="F102" t="inlineStr"/>
    </row>
    <row r="103">
      <c r="A103" t="inlineStr">
        <is>
          <t>Katie J. Rodriguez</t>
        </is>
      </c>
      <c r="B103" t="inlineStr">
        <is>
          <t>The University of Kansas Hospital Authority</t>
        </is>
      </c>
      <c r="C103" s="19" t="inlineStr">
        <is>
          <t>RT2114</t>
        </is>
      </c>
      <c r="D103" t="n">
        <v>70</v>
      </c>
      <c r="E103" t="inlineStr">
        <is>
          <t>ESPS:ACH Special Prcss Fee</t>
        </is>
      </c>
      <c r="F103" t="inlineStr"/>
    </row>
    <row r="104">
      <c r="A104" t="inlineStr">
        <is>
          <t>Mattie M. Rogers</t>
        </is>
      </c>
      <c r="B104" t="inlineStr">
        <is>
          <t>St. Luke's Episcopal-Presbyterian Hospitals</t>
        </is>
      </c>
      <c r="C104" s="19" t="inlineStr">
        <is>
          <t>RS5971</t>
        </is>
      </c>
      <c r="D104" t="n">
        <v>54</v>
      </c>
      <c r="E104" t="inlineStr">
        <is>
          <t>EFIL:E-filed Filing Fee</t>
        </is>
      </c>
      <c r="F104" t="inlineStr"/>
    </row>
    <row r="105">
      <c r="A105" t="inlineStr">
        <is>
          <t>Mattie M. Rogers</t>
        </is>
      </c>
      <c r="B105" t="inlineStr">
        <is>
          <t>St. Luke's Episcopal-Presbyterian Hospitals</t>
        </is>
      </c>
      <c r="C105" s="19" t="inlineStr">
        <is>
          <t>RS5971</t>
        </is>
      </c>
      <c r="D105" t="n">
        <v>70</v>
      </c>
      <c r="E105" t="inlineStr">
        <is>
          <t>ESPS:ACH Special Prcss Fee</t>
        </is>
      </c>
      <c r="F105" t="inlineStr"/>
    </row>
    <row r="106">
      <c r="A106" t="inlineStr">
        <is>
          <t>Tammy R. Rogers</t>
        </is>
      </c>
      <c r="B106" t="inlineStr">
        <is>
          <t>The University of Kansas Hospital Authority</t>
        </is>
      </c>
      <c r="C106" s="19" t="inlineStr">
        <is>
          <t>RS9978</t>
        </is>
      </c>
      <c r="D106" t="n">
        <v>63</v>
      </c>
      <c r="E106" t="inlineStr">
        <is>
          <t>EFIL:E-filed Filing Fee</t>
        </is>
      </c>
      <c r="F106" t="inlineStr"/>
    </row>
    <row r="107">
      <c r="A107" t="inlineStr">
        <is>
          <t>Tammy R. Rogers</t>
        </is>
      </c>
      <c r="B107" t="inlineStr">
        <is>
          <t>The University of Kansas Hospital Authority</t>
        </is>
      </c>
      <c r="C107" s="19" t="inlineStr">
        <is>
          <t>RS9978</t>
        </is>
      </c>
      <c r="D107" t="n">
        <v>70</v>
      </c>
      <c r="E107" t="inlineStr">
        <is>
          <t>ESPS:ACH Special Prcss Fee</t>
        </is>
      </c>
      <c r="F107" t="inlineStr"/>
    </row>
    <row r="108">
      <c r="A108" t="inlineStr">
        <is>
          <t>Lorraine M. Rohde</t>
        </is>
      </c>
      <c r="B108" t="inlineStr">
        <is>
          <t>The University of Kansas Hospital Authority</t>
        </is>
      </c>
      <c r="C108" s="19" t="inlineStr">
        <is>
          <t>RQ9131</t>
        </is>
      </c>
      <c r="D108" t="n">
        <v>63</v>
      </c>
      <c r="E108" t="inlineStr">
        <is>
          <t>EFIL:E-filed Filing Fee</t>
        </is>
      </c>
      <c r="F108" t="inlineStr"/>
    </row>
    <row r="109">
      <c r="A109" t="inlineStr">
        <is>
          <t>Lorraine M. Rohde</t>
        </is>
      </c>
      <c r="B109" t="inlineStr">
        <is>
          <t>The University of Kansas Hospital Authority</t>
        </is>
      </c>
      <c r="C109" s="19" t="inlineStr">
        <is>
          <t>RQ9131</t>
        </is>
      </c>
      <c r="D109" t="n">
        <v>70</v>
      </c>
      <c r="E109" t="inlineStr">
        <is>
          <t>ESPS:ACH Special Prcss Fee</t>
        </is>
      </c>
      <c r="F109" t="inlineStr"/>
    </row>
    <row r="110">
      <c r="A110" t="inlineStr">
        <is>
          <t>Cassidy C. Rubisoff</t>
        </is>
      </c>
      <c r="B110" t="inlineStr">
        <is>
          <t>The University of Kansas Hospital Authority</t>
        </is>
      </c>
      <c r="C110" s="19" t="inlineStr">
        <is>
          <t>RS4313</t>
        </is>
      </c>
      <c r="D110" t="n">
        <v>15</v>
      </c>
      <c r="E110" t="inlineStr">
        <is>
          <t>SHFE:Sheriff's Fee</t>
        </is>
      </c>
      <c r="F110" t="inlineStr"/>
    </row>
    <row r="111">
      <c r="A111" t="inlineStr">
        <is>
          <t>Felica B. Sanders</t>
        </is>
      </c>
      <c r="B111" t="inlineStr">
        <is>
          <t>The University of Kansas Hospital Authority</t>
        </is>
      </c>
      <c r="C111" s="19" t="inlineStr">
        <is>
          <t>SGF352</t>
        </is>
      </c>
      <c r="D111" t="n">
        <v>15</v>
      </c>
      <c r="E111" t="inlineStr">
        <is>
          <t>SHFE:Sheriff's Fee</t>
        </is>
      </c>
      <c r="F111" t="inlineStr"/>
    </row>
    <row r="112">
      <c r="A112" t="inlineStr">
        <is>
          <t>D'Vonte D Sapho</t>
        </is>
      </c>
      <c r="B112" t="inlineStr">
        <is>
          <t>The University of Kansas Hospital Authority</t>
        </is>
      </c>
      <c r="C112" s="19" t="inlineStr">
        <is>
          <t>SFQ595</t>
        </is>
      </c>
      <c r="D112" t="n">
        <v>10.5</v>
      </c>
      <c r="E112" t="inlineStr">
        <is>
          <t>EFIL:E-filed Filing Fee</t>
        </is>
      </c>
      <c r="F112" t="inlineStr">
        <is>
          <t>Court Fee</t>
        </is>
      </c>
    </row>
    <row r="113">
      <c r="A113" t="inlineStr">
        <is>
          <t>D'Vonte D Sapho</t>
        </is>
      </c>
      <c r="B113" t="inlineStr">
        <is>
          <t>The University of Kansas Hospital Authority</t>
        </is>
      </c>
      <c r="C113" s="19" t="inlineStr">
        <is>
          <t>SFQ595</t>
        </is>
      </c>
      <c r="D113" t="n">
        <v>46</v>
      </c>
      <c r="E113" t="inlineStr">
        <is>
          <t>ESHF:E-filed Sheriff's Fee</t>
        </is>
      </c>
      <c r="F113" t="inlineStr">
        <is>
          <t>Civil Records</t>
        </is>
      </c>
    </row>
    <row r="114">
      <c r="A114" t="inlineStr">
        <is>
          <t>Alexandra D. Schemmel</t>
        </is>
      </c>
      <c r="B114" t="inlineStr">
        <is>
          <t>The University of Kansas Hospital Authority</t>
        </is>
      </c>
      <c r="C114" s="19" t="inlineStr">
        <is>
          <t>SGE320</t>
        </is>
      </c>
      <c r="D114" t="n">
        <v>51</v>
      </c>
      <c r="E114" t="inlineStr">
        <is>
          <t>EFIL:E-filed Filing Fee</t>
        </is>
      </c>
      <c r="F114" t="inlineStr"/>
    </row>
    <row r="115">
      <c r="A115" t="inlineStr">
        <is>
          <t>Alexandra D. Schemmel</t>
        </is>
      </c>
      <c r="B115" t="inlineStr">
        <is>
          <t>The University of Kansas Hospital Authority</t>
        </is>
      </c>
      <c r="C115" s="19" t="inlineStr">
        <is>
          <t>SGE320</t>
        </is>
      </c>
      <c r="D115" t="n">
        <v>70</v>
      </c>
      <c r="E115" t="inlineStr">
        <is>
          <t>ESPS:ACH Special Prcss Fee</t>
        </is>
      </c>
      <c r="F115" t="inlineStr"/>
    </row>
    <row r="116">
      <c r="A116" t="inlineStr">
        <is>
          <t>Christopher T. Scott</t>
        </is>
      </c>
      <c r="B116" t="inlineStr">
        <is>
          <t>The University of Kansas Hospital Authority</t>
        </is>
      </c>
      <c r="C116" s="19" t="inlineStr">
        <is>
          <t>SGH323</t>
        </is>
      </c>
      <c r="D116" t="n">
        <v>63</v>
      </c>
      <c r="E116" t="inlineStr">
        <is>
          <t>EFIL:E-filed Filing Fee</t>
        </is>
      </c>
      <c r="F116" t="inlineStr"/>
    </row>
    <row r="117">
      <c r="A117" t="inlineStr">
        <is>
          <t>Christopher T. Scott</t>
        </is>
      </c>
      <c r="B117" t="inlineStr">
        <is>
          <t>The University of Kansas Hospital Authority</t>
        </is>
      </c>
      <c r="C117" s="19" t="inlineStr">
        <is>
          <t>SGH323</t>
        </is>
      </c>
      <c r="D117" t="n">
        <v>70</v>
      </c>
      <c r="E117" t="inlineStr">
        <is>
          <t>ESPS:ACH Special Prcss Fee</t>
        </is>
      </c>
      <c r="F117" t="inlineStr"/>
    </row>
    <row r="118">
      <c r="A118" t="inlineStr">
        <is>
          <t>Ronald L. Settles Jr.</t>
        </is>
      </c>
      <c r="B118" t="inlineStr">
        <is>
          <t>The University of Kansas Hospital Authority</t>
        </is>
      </c>
      <c r="C118" s="19" t="inlineStr">
        <is>
          <t>SFU585</t>
        </is>
      </c>
      <c r="D118" t="n">
        <v>54.65</v>
      </c>
      <c r="E118" t="inlineStr">
        <is>
          <t>GARN:Garnishment</t>
        </is>
      </c>
      <c r="F118" t="inlineStr">
        <is>
          <t>WG</t>
        </is>
      </c>
    </row>
    <row r="119">
      <c r="A119" t="inlineStr">
        <is>
          <t>Michele Shackelford</t>
        </is>
      </c>
      <c r="B119" t="inlineStr">
        <is>
          <t>The University of Kansas Hospital Authority</t>
        </is>
      </c>
      <c r="C119" s="19" t="inlineStr">
        <is>
          <t>SGO377</t>
        </is>
      </c>
      <c r="D119" t="n">
        <v>63</v>
      </c>
      <c r="E119" t="inlineStr">
        <is>
          <t>EFIL:E-filed Filing Fee</t>
        </is>
      </c>
      <c r="F119" t="inlineStr"/>
    </row>
    <row r="120">
      <c r="A120" t="inlineStr">
        <is>
          <t>Michele Shackelford</t>
        </is>
      </c>
      <c r="B120" t="inlineStr">
        <is>
          <t>The University of Kansas Hospital Authority</t>
        </is>
      </c>
      <c r="C120" s="19" t="inlineStr">
        <is>
          <t>SGO377</t>
        </is>
      </c>
      <c r="D120" t="n">
        <v>70</v>
      </c>
      <c r="E120" t="inlineStr">
        <is>
          <t>ESPS:ACH Special Prcss Fee</t>
        </is>
      </c>
      <c r="F120" t="inlineStr"/>
    </row>
    <row r="121">
      <c r="A121" t="inlineStr">
        <is>
          <t>Toni M. Sharp</t>
        </is>
      </c>
      <c r="B121" t="inlineStr">
        <is>
          <t>The University of Kansas Hospital Authority</t>
        </is>
      </c>
      <c r="C121" s="19" t="inlineStr">
        <is>
          <t>SGE475</t>
        </is>
      </c>
      <c r="D121" t="n">
        <v>70</v>
      </c>
      <c r="E121" t="inlineStr">
        <is>
          <t>ESPS:ACH Special Prcss Fee</t>
        </is>
      </c>
      <c r="F121" t="inlineStr">
        <is>
          <t>alias</t>
        </is>
      </c>
    </row>
    <row r="122">
      <c r="A122" t="inlineStr">
        <is>
          <t>Samantha G. Sheldon</t>
        </is>
      </c>
      <c r="B122" t="inlineStr">
        <is>
          <t>St. Luke's Episcopal-Presbyterian Hospitals</t>
        </is>
      </c>
      <c r="C122" s="19" t="inlineStr">
        <is>
          <t>SGJ149</t>
        </is>
      </c>
      <c r="D122" t="n">
        <v>10.5</v>
      </c>
      <c r="E122" t="inlineStr">
        <is>
          <t>EFIL:E-filed Filing Fee</t>
        </is>
      </c>
      <c r="F122" t="inlineStr">
        <is>
          <t>Court Fee</t>
        </is>
      </c>
    </row>
    <row r="123">
      <c r="A123" t="inlineStr">
        <is>
          <t>Samantha G. Sheldon</t>
        </is>
      </c>
      <c r="B123" t="inlineStr">
        <is>
          <t>St. Luke's Episcopal-Presbyterian Hospitals</t>
        </is>
      </c>
      <c r="C123" s="19" t="inlineStr">
        <is>
          <t>SGJ149</t>
        </is>
      </c>
      <c r="D123" t="n">
        <v>46</v>
      </c>
      <c r="E123" t="inlineStr">
        <is>
          <t>SHFE:Sheriff's Fee</t>
        </is>
      </c>
      <c r="F123" t="inlineStr">
        <is>
          <t>gmt @ mr poe</t>
        </is>
      </c>
    </row>
    <row r="124">
      <c r="A124" t="inlineStr">
        <is>
          <t>Amanda M. Shepherd</t>
        </is>
      </c>
      <c r="B124" t="inlineStr">
        <is>
          <t>The University of Kansas Hospital Authority</t>
        </is>
      </c>
      <c r="C124" s="19" t="inlineStr">
        <is>
          <t>SGF304</t>
        </is>
      </c>
      <c r="D124" t="n">
        <v>15</v>
      </c>
      <c r="E124" t="inlineStr">
        <is>
          <t>SHFE:Sheriff's Fee</t>
        </is>
      </c>
      <c r="F124" t="inlineStr"/>
    </row>
    <row r="125">
      <c r="A125" t="inlineStr">
        <is>
          <t>Sunny L.J. Shipp</t>
        </is>
      </c>
      <c r="B125" t="inlineStr">
        <is>
          <t>The University of Kansas Hospital Authority</t>
        </is>
      </c>
      <c r="C125" s="19" t="inlineStr">
        <is>
          <t>SGT226</t>
        </is>
      </c>
      <c r="D125" t="n">
        <v>15</v>
      </c>
      <c r="E125" t="inlineStr">
        <is>
          <t>SHFE:Sheriff's Fee</t>
        </is>
      </c>
      <c r="F125" t="inlineStr"/>
    </row>
    <row r="126">
      <c r="A126" t="inlineStr">
        <is>
          <t>Chelsea Shughart</t>
        </is>
      </c>
      <c r="B126" t="inlineStr">
        <is>
          <t>The University of Kansas Hospital Authority</t>
        </is>
      </c>
      <c r="C126" s="19" t="inlineStr">
        <is>
          <t>SGE314</t>
        </is>
      </c>
      <c r="D126" t="n">
        <v>0.74</v>
      </c>
      <c r="E126" t="inlineStr">
        <is>
          <t>STMP:Postage Cost</t>
        </is>
      </c>
      <c r="F126" t="inlineStr"/>
    </row>
    <row r="127">
      <c r="A127" t="inlineStr">
        <is>
          <t>Leisha M. Sitzes</t>
        </is>
      </c>
      <c r="B127" t="inlineStr">
        <is>
          <t>St. Luke's Episcopal-Presbyterian Hospitals</t>
        </is>
      </c>
      <c r="C127" s="19" t="inlineStr">
        <is>
          <t>SGI999</t>
        </is>
      </c>
      <c r="D127" t="n">
        <v>49</v>
      </c>
      <c r="E127" t="inlineStr">
        <is>
          <t>EFIL:E-filed Filing Fee</t>
        </is>
      </c>
      <c r="F127" t="inlineStr"/>
    </row>
    <row r="128">
      <c r="A128" t="inlineStr">
        <is>
          <t>Leisha M. Sitzes</t>
        </is>
      </c>
      <c r="B128" t="inlineStr">
        <is>
          <t>St. Luke's Episcopal-Presbyterian Hospitals</t>
        </is>
      </c>
      <c r="C128" s="19" t="inlineStr">
        <is>
          <t>SGI999</t>
        </is>
      </c>
      <c r="D128" t="n">
        <v>70</v>
      </c>
      <c r="E128" t="inlineStr">
        <is>
          <t>ESPS:ACH Special Prcss Fee</t>
        </is>
      </c>
      <c r="F128" t="inlineStr"/>
    </row>
    <row r="129">
      <c r="A129" t="inlineStr">
        <is>
          <t>Allison P. Smith</t>
        </is>
      </c>
      <c r="B129" t="inlineStr">
        <is>
          <t>St. Luke's Episcopal-Presbyterian Hospitals</t>
        </is>
      </c>
      <c r="C129" s="19" t="inlineStr">
        <is>
          <t>SGH799</t>
        </is>
      </c>
      <c r="D129" t="n">
        <v>10.5</v>
      </c>
      <c r="E129" t="inlineStr">
        <is>
          <t>EFIL:E-filed Filing Fee</t>
        </is>
      </c>
      <c r="F129" t="inlineStr">
        <is>
          <t>Court Fee</t>
        </is>
      </c>
    </row>
    <row r="130">
      <c r="A130" t="inlineStr">
        <is>
          <t>Allison P. Smith</t>
        </is>
      </c>
      <c r="B130" t="inlineStr">
        <is>
          <t>St. Luke's Episcopal-Presbyterian Hospitals</t>
        </is>
      </c>
      <c r="C130" s="19" t="inlineStr">
        <is>
          <t>SGH799</t>
        </is>
      </c>
      <c r="D130" t="n">
        <v>46</v>
      </c>
      <c r="E130" t="inlineStr">
        <is>
          <t>SHFE:Sheriff's Fee</t>
        </is>
      </c>
      <c r="F130" t="inlineStr">
        <is>
          <t>gmt @ mr poe</t>
        </is>
      </c>
    </row>
    <row r="131">
      <c r="A131" t="inlineStr">
        <is>
          <t>Monique R. Snead</t>
        </is>
      </c>
      <c r="B131" t="inlineStr">
        <is>
          <t>The University of Kansas Hospital Authority</t>
        </is>
      </c>
      <c r="C131" s="19" t="inlineStr">
        <is>
          <t>SFL635</t>
        </is>
      </c>
      <c r="D131" t="n">
        <v>10.5</v>
      </c>
      <c r="E131" t="inlineStr">
        <is>
          <t>EFIL:E-filed Filing Fee</t>
        </is>
      </c>
      <c r="F131" t="inlineStr">
        <is>
          <t>Court fee</t>
        </is>
      </c>
    </row>
    <row r="132">
      <c r="A132" t="inlineStr">
        <is>
          <t>Monique R. Snead</t>
        </is>
      </c>
      <c r="B132" t="inlineStr">
        <is>
          <t>The University of Kansas Hospital Authority</t>
        </is>
      </c>
      <c r="C132" s="19" t="inlineStr">
        <is>
          <t>SFL635</t>
        </is>
      </c>
      <c r="D132" t="n">
        <v>55.22</v>
      </c>
      <c r="E132" t="inlineStr">
        <is>
          <t>SHFE:Sheriff's Fee</t>
        </is>
      </c>
      <c r="F132" t="inlineStr">
        <is>
          <t>gmt @ mr poe</t>
        </is>
      </c>
    </row>
    <row r="133">
      <c r="A133" t="inlineStr">
        <is>
          <t>Robyn M. Sowash</t>
        </is>
      </c>
      <c r="B133" t="inlineStr">
        <is>
          <t>St. Luke's Episcopal-Presbyterian Hospitals</t>
        </is>
      </c>
      <c r="C133" s="19" t="inlineStr">
        <is>
          <t>SGH435</t>
        </is>
      </c>
      <c r="D133" t="n">
        <v>49</v>
      </c>
      <c r="E133" t="inlineStr">
        <is>
          <t>EFIL:E-filed Filing Fee</t>
        </is>
      </c>
      <c r="F133" t="inlineStr"/>
    </row>
    <row r="134">
      <c r="A134" t="inlineStr">
        <is>
          <t>Robyn M. Sowash</t>
        </is>
      </c>
      <c r="B134" t="inlineStr">
        <is>
          <t>St. Luke's Episcopal-Presbyterian Hospitals</t>
        </is>
      </c>
      <c r="C134" s="19" t="inlineStr">
        <is>
          <t>SGH435</t>
        </is>
      </c>
      <c r="D134" t="n">
        <v>70</v>
      </c>
      <c r="E134" t="inlineStr">
        <is>
          <t>ESPS:ACH Special Prcss Fee</t>
        </is>
      </c>
      <c r="F134" t="inlineStr"/>
    </row>
    <row r="135">
      <c r="A135" t="inlineStr">
        <is>
          <t>Jill Spinali</t>
        </is>
      </c>
      <c r="B135" t="inlineStr">
        <is>
          <t>St. Luke's Episcopal-Presbyterian Hospitals</t>
        </is>
      </c>
      <c r="C135" s="19" t="inlineStr">
        <is>
          <t>SGJ140</t>
        </is>
      </c>
      <c r="D135" t="n">
        <v>106</v>
      </c>
      <c r="E135" t="inlineStr">
        <is>
          <t>EFIL:E-filed Filing Fee</t>
        </is>
      </c>
      <c r="F135" t="inlineStr"/>
    </row>
    <row r="136">
      <c r="A136" t="inlineStr">
        <is>
          <t>Jill Spinali</t>
        </is>
      </c>
      <c r="B136" t="inlineStr">
        <is>
          <t>St. Luke's Episcopal-Presbyterian Hospitals</t>
        </is>
      </c>
      <c r="C136" s="19" t="inlineStr">
        <is>
          <t>SGJ140</t>
        </is>
      </c>
      <c r="D136" t="n">
        <v>105</v>
      </c>
      <c r="E136" t="inlineStr">
        <is>
          <t>ESPS:ACH Special Prcss Fee</t>
        </is>
      </c>
      <c r="F136" t="inlineStr"/>
    </row>
    <row r="137">
      <c r="A137" t="inlineStr">
        <is>
          <t>Sarah B. Srock</t>
        </is>
      </c>
      <c r="B137" t="inlineStr">
        <is>
          <t>The University of Kansas Hospital Authority</t>
        </is>
      </c>
      <c r="C137" s="19" t="inlineStr">
        <is>
          <t>SGR379</t>
        </is>
      </c>
      <c r="D137" t="n">
        <v>51</v>
      </c>
      <c r="E137" t="inlineStr">
        <is>
          <t>EFIL:E-filed Filing Fee</t>
        </is>
      </c>
      <c r="F137" t="inlineStr"/>
    </row>
    <row r="138">
      <c r="A138" t="inlineStr">
        <is>
          <t>Sarah B. Srock</t>
        </is>
      </c>
      <c r="B138" t="inlineStr">
        <is>
          <t>The University of Kansas Hospital Authority</t>
        </is>
      </c>
      <c r="C138" s="19" t="inlineStr">
        <is>
          <t>SGR379</t>
        </is>
      </c>
      <c r="D138" t="n">
        <v>70</v>
      </c>
      <c r="E138" t="inlineStr">
        <is>
          <t>ESPS:ACH Special Prcss Fee</t>
        </is>
      </c>
      <c r="F138" t="inlineStr"/>
    </row>
    <row r="139">
      <c r="A139" t="inlineStr">
        <is>
          <t>Amina Stambolic Tabakovic</t>
        </is>
      </c>
      <c r="B139" t="inlineStr">
        <is>
          <t>St. Luke's Episcopal-Presbyterian Hospitals</t>
        </is>
      </c>
      <c r="C139" s="19" t="inlineStr">
        <is>
          <t>SGI483</t>
        </is>
      </c>
      <c r="D139" t="n">
        <v>49</v>
      </c>
      <c r="E139" t="inlineStr">
        <is>
          <t>EFIL:E-filed Filing Fee</t>
        </is>
      </c>
      <c r="F139" t="inlineStr"/>
    </row>
    <row r="140">
      <c r="A140" t="inlineStr">
        <is>
          <t>Amina Stambolic Tabakovic</t>
        </is>
      </c>
      <c r="B140" t="inlineStr">
        <is>
          <t>St. Luke's Episcopal-Presbyterian Hospitals</t>
        </is>
      </c>
      <c r="C140" s="19" t="inlineStr">
        <is>
          <t>SGI483</t>
        </is>
      </c>
      <c r="D140" t="n">
        <v>105</v>
      </c>
      <c r="E140" t="inlineStr">
        <is>
          <t>ESPS:ACH Special Prcss Fee</t>
        </is>
      </c>
      <c r="F140" t="inlineStr"/>
    </row>
    <row r="141">
      <c r="A141" t="inlineStr">
        <is>
          <t>Robert E. StClair</t>
        </is>
      </c>
      <c r="B141" t="inlineStr">
        <is>
          <t>The University of Kansas Hospital Authority</t>
        </is>
      </c>
      <c r="C141" s="19" t="inlineStr">
        <is>
          <t>SGM484</t>
        </is>
      </c>
      <c r="D141" t="n">
        <v>15</v>
      </c>
      <c r="E141" t="inlineStr">
        <is>
          <t>SHFE:Sheriff's Fee</t>
        </is>
      </c>
      <c r="F141" t="inlineStr"/>
    </row>
    <row r="142">
      <c r="A142" t="inlineStr">
        <is>
          <t>Shelia N. Stevens</t>
        </is>
      </c>
      <c r="B142" t="inlineStr">
        <is>
          <t>The University of Kansas Hospital Authority</t>
        </is>
      </c>
      <c r="C142" s="19" t="inlineStr">
        <is>
          <t>SER340</t>
        </is>
      </c>
      <c r="D142" t="n">
        <v>70</v>
      </c>
      <c r="E142" t="inlineStr">
        <is>
          <t>ESPS:ACH Special Prcss Fee</t>
        </is>
      </c>
      <c r="F142" t="inlineStr"/>
    </row>
    <row r="143">
      <c r="A143" t="inlineStr">
        <is>
          <t>Danielle R. Stewart</t>
        </is>
      </c>
      <c r="B143" t="inlineStr">
        <is>
          <t>St. Luke's Episcopal-Presbyterian Hospitals</t>
        </is>
      </c>
      <c r="C143" s="19" t="inlineStr">
        <is>
          <t>SGI200</t>
        </is>
      </c>
      <c r="D143" t="n">
        <v>54</v>
      </c>
      <c r="E143" t="inlineStr">
        <is>
          <t>EFIL:E-filed Filing Fee</t>
        </is>
      </c>
      <c r="F143" t="inlineStr"/>
    </row>
    <row r="144">
      <c r="A144" t="inlineStr">
        <is>
          <t>Danielle R. Stewart</t>
        </is>
      </c>
      <c r="B144" t="inlineStr">
        <is>
          <t>St. Luke's Episcopal-Presbyterian Hospitals</t>
        </is>
      </c>
      <c r="C144" s="19" t="inlineStr">
        <is>
          <t>SGI200</t>
        </is>
      </c>
      <c r="D144" t="n">
        <v>70</v>
      </c>
      <c r="E144" t="inlineStr">
        <is>
          <t>ESPS:ACH Special Prcss Fee</t>
        </is>
      </c>
      <c r="F144" t="inlineStr"/>
    </row>
    <row r="145">
      <c r="A145" t="inlineStr">
        <is>
          <t>McKenna Stone Marshall</t>
        </is>
      </c>
      <c r="B145" t="inlineStr">
        <is>
          <t>The University of Kansas Hospital Authority</t>
        </is>
      </c>
      <c r="C145" s="19" t="inlineStr">
        <is>
          <t>MGW554</t>
        </is>
      </c>
      <c r="D145" t="n">
        <v>49</v>
      </c>
      <c r="E145" t="inlineStr">
        <is>
          <t>EFIL:E-filed Filing Fee</t>
        </is>
      </c>
      <c r="F145" t="inlineStr"/>
    </row>
    <row r="146">
      <c r="A146" t="inlineStr">
        <is>
          <t>McKenna Stone Marshall</t>
        </is>
      </c>
      <c r="B146" t="inlineStr">
        <is>
          <t>The University of Kansas Hospital Authority</t>
        </is>
      </c>
      <c r="C146" s="19" t="inlineStr">
        <is>
          <t>MGW554</t>
        </is>
      </c>
      <c r="D146" t="n">
        <v>70</v>
      </c>
      <c r="E146" t="inlineStr">
        <is>
          <t>ESPS:ACH Special Prcss Fee</t>
        </is>
      </c>
      <c r="F146" t="inlineStr"/>
    </row>
    <row r="147">
      <c r="A147" t="inlineStr">
        <is>
          <t>Julie A. Strickland</t>
        </is>
      </c>
      <c r="B147" t="inlineStr">
        <is>
          <t>The University of Kansas Hospital Authority</t>
        </is>
      </c>
      <c r="C147" s="19" t="inlineStr">
        <is>
          <t>SGK764</t>
        </is>
      </c>
      <c r="D147" t="n">
        <v>63</v>
      </c>
      <c r="E147" t="inlineStr">
        <is>
          <t>EFIL:E-filed Filing Fee</t>
        </is>
      </c>
      <c r="F147" t="inlineStr"/>
    </row>
    <row r="148">
      <c r="A148" t="inlineStr">
        <is>
          <t>Julie A. Strickland</t>
        </is>
      </c>
      <c r="B148" t="inlineStr">
        <is>
          <t>The University of Kansas Hospital Authority</t>
        </is>
      </c>
      <c r="C148" s="19" t="inlineStr">
        <is>
          <t>SGK764</t>
        </is>
      </c>
      <c r="D148" t="n">
        <v>70</v>
      </c>
      <c r="E148" t="inlineStr">
        <is>
          <t>ESPS:ACH Special Prcss Fee</t>
        </is>
      </c>
      <c r="F148" t="inlineStr"/>
    </row>
    <row r="149">
      <c r="A149" t="inlineStr">
        <is>
          <t>Jessica R. Stubbs</t>
        </is>
      </c>
      <c r="B149" t="inlineStr">
        <is>
          <t>The University of Kansas Hospital Authority</t>
        </is>
      </c>
      <c r="C149" s="19" t="inlineStr">
        <is>
          <t>SGD080</t>
        </is>
      </c>
      <c r="D149" t="n">
        <v>70</v>
      </c>
      <c r="E149" t="inlineStr">
        <is>
          <t>ESPS:ACH Special Prcss Fee</t>
        </is>
      </c>
      <c r="F149" t="inlineStr">
        <is>
          <t>alias</t>
        </is>
      </c>
    </row>
    <row r="150">
      <c r="A150" t="inlineStr">
        <is>
          <t>Brittany E. Stumpf</t>
        </is>
      </c>
      <c r="B150" t="inlineStr">
        <is>
          <t>St. Luke's Episcopal-Presbyterian Hospitals</t>
        </is>
      </c>
      <c r="C150" s="19" t="inlineStr">
        <is>
          <t>SGI587</t>
        </is>
      </c>
      <c r="D150" t="n">
        <v>49</v>
      </c>
      <c r="E150" t="inlineStr">
        <is>
          <t>EFIL:E-filed Filing Fee</t>
        </is>
      </c>
      <c r="F150" t="inlineStr"/>
    </row>
    <row r="151">
      <c r="A151" t="inlineStr">
        <is>
          <t>Brittany E. Stumpf</t>
        </is>
      </c>
      <c r="B151" t="inlineStr">
        <is>
          <t>St. Luke's Episcopal-Presbyterian Hospitals</t>
        </is>
      </c>
      <c r="C151" s="19" t="inlineStr">
        <is>
          <t>SGI587</t>
        </is>
      </c>
      <c r="D151" t="n">
        <v>105</v>
      </c>
      <c r="E151" t="inlineStr">
        <is>
          <t>ESPS:ACH Special Prcss Fee</t>
        </is>
      </c>
      <c r="F151" t="inlineStr"/>
    </row>
    <row r="152">
      <c r="A152" t="inlineStr">
        <is>
          <t>Ashley N. Stupavsky</t>
        </is>
      </c>
      <c r="B152" t="inlineStr">
        <is>
          <t>St. Luke's Episcopal-Presbyterian Hospitals</t>
        </is>
      </c>
      <c r="C152" s="19" t="inlineStr">
        <is>
          <t>SGI565</t>
        </is>
      </c>
      <c r="D152" t="n">
        <v>54</v>
      </c>
      <c r="E152" t="inlineStr">
        <is>
          <t>EFIL:E-filed Filing Fee</t>
        </is>
      </c>
      <c r="F152" t="inlineStr"/>
    </row>
    <row r="153">
      <c r="A153" t="inlineStr">
        <is>
          <t>Ashley N. Stupavsky</t>
        </is>
      </c>
      <c r="B153" t="inlineStr">
        <is>
          <t>St. Luke's Episcopal-Presbyterian Hospitals</t>
        </is>
      </c>
      <c r="C153" s="19" t="inlineStr">
        <is>
          <t>SGI565</t>
        </is>
      </c>
      <c r="D153" t="n">
        <v>70</v>
      </c>
      <c r="E153" t="inlineStr">
        <is>
          <t>ESPS:ACH Special Prcss Fee</t>
        </is>
      </c>
      <c r="F153" t="inlineStr"/>
    </row>
    <row r="154">
      <c r="A154" t="inlineStr">
        <is>
          <t>Sean A. Sumpter</t>
        </is>
      </c>
      <c r="B154" t="inlineStr">
        <is>
          <t>The University of Kansas Hospital Authority</t>
        </is>
      </c>
      <c r="C154" s="19" t="inlineStr">
        <is>
          <t>SGG331</t>
        </is>
      </c>
      <c r="D154" t="n">
        <v>51</v>
      </c>
      <c r="E154" t="inlineStr">
        <is>
          <t>EFIL:E-filed Filing Fee</t>
        </is>
      </c>
      <c r="F154" t="inlineStr"/>
    </row>
    <row r="155">
      <c r="A155" t="inlineStr">
        <is>
          <t>Sean A. Sumpter</t>
        </is>
      </c>
      <c r="B155" t="inlineStr">
        <is>
          <t>The University of Kansas Hospital Authority</t>
        </is>
      </c>
      <c r="C155" s="19" t="inlineStr">
        <is>
          <t>SGG331</t>
        </is>
      </c>
      <c r="D155" t="n">
        <v>70</v>
      </c>
      <c r="E155" t="inlineStr">
        <is>
          <t>ESPS:ACH Special Prcss Fee</t>
        </is>
      </c>
      <c r="F155" t="inlineStr"/>
    </row>
    <row r="156">
      <c r="A156" t="inlineStr">
        <is>
          <t>Lila C. Symons</t>
        </is>
      </c>
      <c r="B156" t="inlineStr">
        <is>
          <t>The University of Kansas Hospital Authority</t>
        </is>
      </c>
      <c r="C156" s="19" t="inlineStr">
        <is>
          <t>SGM935</t>
        </is>
      </c>
      <c r="D156" t="n">
        <v>63</v>
      </c>
      <c r="E156" t="inlineStr">
        <is>
          <t>EFIL:E-filed Filing Fee</t>
        </is>
      </c>
      <c r="F156" t="inlineStr"/>
    </row>
    <row r="157">
      <c r="A157" t="inlineStr">
        <is>
          <t>Lila C. Symons</t>
        </is>
      </c>
      <c r="B157" t="inlineStr">
        <is>
          <t>The University of Kansas Hospital Authority</t>
        </is>
      </c>
      <c r="C157" s="19" t="inlineStr">
        <is>
          <t>SGM935</t>
        </is>
      </c>
      <c r="D157" t="n">
        <v>70</v>
      </c>
      <c r="E157" t="inlineStr">
        <is>
          <t>ESPS:ACH Special Prcss Fee</t>
        </is>
      </c>
      <c r="F157" t="inlineStr"/>
    </row>
    <row r="158">
      <c r="A158" t="inlineStr">
        <is>
          <t>Todd M. Tamborski</t>
        </is>
      </c>
      <c r="B158" t="inlineStr">
        <is>
          <t>St. Luke's Episcopal-Presbyterian Hospitals</t>
        </is>
      </c>
      <c r="C158" s="19" t="inlineStr">
        <is>
          <t>TK1145</t>
        </is>
      </c>
      <c r="D158" t="n">
        <v>70</v>
      </c>
      <c r="E158" t="inlineStr">
        <is>
          <t>ESPS:ACH Special Prcss Fee</t>
        </is>
      </c>
      <c r="F158" t="inlineStr"/>
    </row>
    <row r="159">
      <c r="A159" t="inlineStr">
        <is>
          <t>Brock M. Tendick</t>
        </is>
      </c>
      <c r="B159" t="inlineStr">
        <is>
          <t>The University of Kansas Hospital Authority</t>
        </is>
      </c>
      <c r="C159" s="19" t="inlineStr">
        <is>
          <t>TI5086</t>
        </is>
      </c>
      <c r="D159" t="n">
        <v>10.5</v>
      </c>
      <c r="E159" t="inlineStr">
        <is>
          <t>EFIL:E-filed Filing Fee</t>
        </is>
      </c>
      <c r="F159" t="inlineStr">
        <is>
          <t>Court Fee</t>
        </is>
      </c>
    </row>
    <row r="160">
      <c r="A160" t="inlineStr">
        <is>
          <t>Brock M. Tendick</t>
        </is>
      </c>
      <c r="B160" t="inlineStr">
        <is>
          <t>The University of Kansas Hospital Authority</t>
        </is>
      </c>
      <c r="C160" s="19" t="inlineStr">
        <is>
          <t>TI5086</t>
        </is>
      </c>
      <c r="D160" t="n">
        <v>50</v>
      </c>
      <c r="E160" t="inlineStr">
        <is>
          <t>SHFE:Sheriff's Fee</t>
        </is>
      </c>
      <c r="F160" t="inlineStr">
        <is>
          <t>gmt @ mr poe</t>
        </is>
      </c>
    </row>
    <row r="161">
      <c r="A161" t="inlineStr">
        <is>
          <t>Brianna N. Tomac</t>
        </is>
      </c>
      <c r="B161" t="inlineStr">
        <is>
          <t>The University of Kansas Hospital Authority</t>
        </is>
      </c>
      <c r="C161" s="19" t="inlineStr">
        <is>
          <t>TJ1286</t>
        </is>
      </c>
      <c r="D161" t="n">
        <v>34</v>
      </c>
      <c r="E161" t="inlineStr">
        <is>
          <t>EFIL:E-filed Filing Fee</t>
        </is>
      </c>
      <c r="F161" t="inlineStr"/>
    </row>
    <row r="162">
      <c r="A162" t="inlineStr">
        <is>
          <t>Brianna N. Tomac</t>
        </is>
      </c>
      <c r="B162" t="inlineStr">
        <is>
          <t>The University of Kansas Hospital Authority</t>
        </is>
      </c>
      <c r="C162" s="19" t="inlineStr">
        <is>
          <t>TJ1286</t>
        </is>
      </c>
      <c r="D162" t="n">
        <v>70</v>
      </c>
      <c r="E162" t="inlineStr">
        <is>
          <t>ESPS:ACH Special Prcss Fee</t>
        </is>
      </c>
      <c r="F162" t="inlineStr"/>
    </row>
    <row r="163">
      <c r="A163" t="inlineStr">
        <is>
          <t>Shannon K. Towns</t>
        </is>
      </c>
      <c r="B163" t="inlineStr">
        <is>
          <t>The University of Kansas Hospital Authority</t>
        </is>
      </c>
      <c r="C163" s="19" t="inlineStr">
        <is>
          <t>TK3549</t>
        </is>
      </c>
      <c r="D163" t="n">
        <v>15</v>
      </c>
      <c r="E163" t="inlineStr">
        <is>
          <t>SHFE:Sheriff's Fee</t>
        </is>
      </c>
      <c r="F163" t="inlineStr"/>
    </row>
    <row r="164">
      <c r="A164" t="inlineStr">
        <is>
          <t>Tacoa L. Underwood</t>
        </is>
      </c>
      <c r="B164" t="inlineStr">
        <is>
          <t>The University of Kansas Hospital Authority</t>
        </is>
      </c>
      <c r="C164" s="19" t="inlineStr">
        <is>
          <t>U11341</t>
        </is>
      </c>
      <c r="D164" t="n">
        <v>15</v>
      </c>
      <c r="E164" t="inlineStr">
        <is>
          <t>SHFE:Sheriff's Fee</t>
        </is>
      </c>
      <c r="F164" t="inlineStr"/>
    </row>
    <row r="165">
      <c r="A165" t="inlineStr">
        <is>
          <t>Stephen E. Union</t>
        </is>
      </c>
      <c r="B165" t="inlineStr">
        <is>
          <t>The University of Kansas Hospital Authority</t>
        </is>
      </c>
      <c r="C165" s="19" t="inlineStr">
        <is>
          <t>U11839</t>
        </is>
      </c>
      <c r="D165" t="n">
        <v>34</v>
      </c>
      <c r="E165" t="inlineStr">
        <is>
          <t>EFIL:E-filed Filing Fee</t>
        </is>
      </c>
      <c r="F165" t="inlineStr"/>
    </row>
    <row r="166">
      <c r="A166" t="inlineStr">
        <is>
          <t>Stephen E. Union</t>
        </is>
      </c>
      <c r="B166" t="inlineStr">
        <is>
          <t>The University of Kansas Hospital Authority</t>
        </is>
      </c>
      <c r="C166" s="19" t="inlineStr">
        <is>
          <t>U11839</t>
        </is>
      </c>
      <c r="D166" t="n">
        <v>70</v>
      </c>
      <c r="E166" t="inlineStr">
        <is>
          <t>ESPS:ACH Special Prcss Fee</t>
        </is>
      </c>
      <c r="F166" t="inlineStr"/>
    </row>
    <row r="167">
      <c r="A167" t="inlineStr">
        <is>
          <t>Alexandra Valin</t>
        </is>
      </c>
      <c r="B167" t="inlineStr">
        <is>
          <t>The University of Kansas Hospital Authority</t>
        </is>
      </c>
      <c r="C167" s="19" t="inlineStr">
        <is>
          <t>V55878</t>
        </is>
      </c>
      <c r="D167" t="n">
        <v>63</v>
      </c>
      <c r="E167" t="inlineStr">
        <is>
          <t>EFIL:E-filed Filing Fee</t>
        </is>
      </c>
      <c r="F167" t="inlineStr"/>
    </row>
    <row r="168">
      <c r="A168" t="inlineStr">
        <is>
          <t>Alexandra Valin</t>
        </is>
      </c>
      <c r="B168" t="inlineStr">
        <is>
          <t>The University of Kansas Hospital Authority</t>
        </is>
      </c>
      <c r="C168" s="19" t="inlineStr">
        <is>
          <t>V55878</t>
        </is>
      </c>
      <c r="D168" t="n">
        <v>70</v>
      </c>
      <c r="E168" t="inlineStr">
        <is>
          <t>ESPS:ACH Special Prcss Fee</t>
        </is>
      </c>
      <c r="F168" t="inlineStr"/>
    </row>
    <row r="169">
      <c r="A169" t="inlineStr">
        <is>
          <t>Kevin S. Vandermeer</t>
        </is>
      </c>
      <c r="B169" t="inlineStr">
        <is>
          <t>The University of Kansas Hospital Authority</t>
        </is>
      </c>
      <c r="C169" s="19" t="inlineStr">
        <is>
          <t>V53448</t>
        </is>
      </c>
      <c r="D169" t="n">
        <v>63</v>
      </c>
      <c r="E169" t="inlineStr">
        <is>
          <t>EFIL:E-filed Filing Fee</t>
        </is>
      </c>
      <c r="F169" t="inlineStr"/>
    </row>
    <row r="170">
      <c r="A170" t="inlineStr">
        <is>
          <t>Kevin S. Vandermeer</t>
        </is>
      </c>
      <c r="B170" t="inlineStr">
        <is>
          <t>The University of Kansas Hospital Authority</t>
        </is>
      </c>
      <c r="C170" s="19" t="inlineStr">
        <is>
          <t>V53448</t>
        </is>
      </c>
      <c r="D170" t="n">
        <v>70</v>
      </c>
      <c r="E170" t="inlineStr">
        <is>
          <t>ESPS:ACH Special Prcss Fee</t>
        </is>
      </c>
      <c r="F170" t="inlineStr"/>
    </row>
    <row r="171">
      <c r="A171" t="inlineStr">
        <is>
          <t>Amanda R. Vulgamore</t>
        </is>
      </c>
      <c r="B171" t="inlineStr">
        <is>
          <t>The University of Kansas Hospital Authority</t>
        </is>
      </c>
      <c r="C171" s="19" t="inlineStr">
        <is>
          <t>V56784</t>
        </is>
      </c>
      <c r="D171" t="n">
        <v>15</v>
      </c>
      <c r="E171" t="inlineStr">
        <is>
          <t>SHFE:Sheriff's Fee</t>
        </is>
      </c>
      <c r="F171" t="inlineStr"/>
    </row>
    <row r="172">
      <c r="A172" t="inlineStr">
        <is>
          <t>Susan G. Wells</t>
        </is>
      </c>
      <c r="B172" t="inlineStr">
        <is>
          <t>The University of Kansas Hospital Authority</t>
        </is>
      </c>
      <c r="C172" s="19" t="inlineStr">
        <is>
          <t>WBR778</t>
        </is>
      </c>
      <c r="D172" t="n">
        <v>15</v>
      </c>
      <c r="E172" t="inlineStr">
        <is>
          <t>SHFE:Sheriff's Fee</t>
        </is>
      </c>
      <c r="F172" t="inlineStr"/>
    </row>
    <row r="173">
      <c r="A173" t="inlineStr">
        <is>
          <t>William T. Wheeler</t>
        </is>
      </c>
      <c r="B173" t="inlineStr">
        <is>
          <t>The University of Kansas Hospital Authority</t>
        </is>
      </c>
      <c r="C173" s="19" t="inlineStr">
        <is>
          <t>WBK405</t>
        </is>
      </c>
      <c r="D173" t="n">
        <v>10.5</v>
      </c>
      <c r="E173" t="inlineStr">
        <is>
          <t>EFIL:E-filed Filing Fee</t>
        </is>
      </c>
      <c r="F173" t="inlineStr">
        <is>
          <t>Court Fee</t>
        </is>
      </c>
    </row>
    <row r="174">
      <c r="A174" t="inlineStr">
        <is>
          <t>William T. Wheeler</t>
        </is>
      </c>
      <c r="B174" t="inlineStr">
        <is>
          <t>The University of Kansas Hospital Authority</t>
        </is>
      </c>
      <c r="C174" s="19" t="inlineStr">
        <is>
          <t>WBK405</t>
        </is>
      </c>
      <c r="D174" t="n">
        <v>50</v>
      </c>
      <c r="E174" t="inlineStr">
        <is>
          <t>SHFE:Sheriff's Fee</t>
        </is>
      </c>
      <c r="F174" t="inlineStr">
        <is>
          <t>gmt @ mr poe</t>
        </is>
      </c>
    </row>
    <row r="175">
      <c r="A175" t="inlineStr">
        <is>
          <t>Lewis T. Wilkerson</t>
        </is>
      </c>
      <c r="B175" t="inlineStr">
        <is>
          <t>St. Luke's Episcopal-Presbyterian Hospitals</t>
        </is>
      </c>
      <c r="C175" s="19" t="inlineStr">
        <is>
          <t>WBO818</t>
        </is>
      </c>
      <c r="D175" t="n">
        <v>70</v>
      </c>
      <c r="E175" t="inlineStr">
        <is>
          <t>ESPS:ACH Special Prcss Fee</t>
        </is>
      </c>
      <c r="F175" t="inlineStr">
        <is>
          <t>alias</t>
        </is>
      </c>
    </row>
    <row r="176">
      <c r="A176" t="inlineStr">
        <is>
          <t>Katherine M. Williams</t>
        </is>
      </c>
      <c r="B176" t="inlineStr">
        <is>
          <t>The University of Kansas Hospital Authority</t>
        </is>
      </c>
      <c r="C176" s="19" t="inlineStr">
        <is>
          <t>WBA642</t>
        </is>
      </c>
      <c r="D176" t="n">
        <v>63</v>
      </c>
      <c r="E176" t="inlineStr">
        <is>
          <t>EFIL:E-filed Filing Fee</t>
        </is>
      </c>
      <c r="F176" t="inlineStr"/>
    </row>
    <row r="177">
      <c r="A177" t="inlineStr">
        <is>
          <t>Katherine M. Williams</t>
        </is>
      </c>
      <c r="B177" t="inlineStr">
        <is>
          <t>The University of Kansas Hospital Authority</t>
        </is>
      </c>
      <c r="C177" s="19" t="inlineStr">
        <is>
          <t>WBA642</t>
        </is>
      </c>
      <c r="D177" t="n">
        <v>70</v>
      </c>
      <c r="E177" t="inlineStr">
        <is>
          <t>ESPS:ACH Special Prcss Fee</t>
        </is>
      </c>
      <c r="F177" t="inlineStr"/>
    </row>
    <row r="178">
      <c r="A178" t="inlineStr">
        <is>
          <t>Kristin L. Williams</t>
        </is>
      </c>
      <c r="B178" t="inlineStr">
        <is>
          <t>St. Luke's Episcopal-Presbyterian Hospitals</t>
        </is>
      </c>
      <c r="C178" s="19" t="inlineStr">
        <is>
          <t>WBR110</t>
        </is>
      </c>
      <c r="D178" t="n">
        <v>59</v>
      </c>
      <c r="E178" t="inlineStr">
        <is>
          <t>EFIL:E-filed Filing Fee</t>
        </is>
      </c>
      <c r="F178" t="inlineStr"/>
    </row>
    <row r="179">
      <c r="A179" t="inlineStr">
        <is>
          <t>Kristin L. Williams</t>
        </is>
      </c>
      <c r="B179" t="inlineStr">
        <is>
          <t>St. Luke's Episcopal-Presbyterian Hospitals</t>
        </is>
      </c>
      <c r="C179" s="19" t="inlineStr">
        <is>
          <t>WBR110</t>
        </is>
      </c>
      <c r="D179" t="n">
        <v>70</v>
      </c>
      <c r="E179" t="inlineStr">
        <is>
          <t>ESPS:ACH Special Prcss Fee</t>
        </is>
      </c>
      <c r="F179" t="inlineStr"/>
    </row>
    <row r="180">
      <c r="A180" t="inlineStr">
        <is>
          <t>Chiquita R. Wright</t>
        </is>
      </c>
      <c r="B180" t="inlineStr">
        <is>
          <t>The University of Kansas Hospital Authority</t>
        </is>
      </c>
      <c r="C180" s="19" t="inlineStr">
        <is>
          <t>WBQ922</t>
        </is>
      </c>
      <c r="D180" t="n">
        <v>63</v>
      </c>
      <c r="E180" t="inlineStr">
        <is>
          <t>EFIL:E-filed Filing Fee</t>
        </is>
      </c>
      <c r="F180" t="inlineStr"/>
    </row>
    <row r="181">
      <c r="A181" t="inlineStr">
        <is>
          <t>Chiquita R. Wright</t>
        </is>
      </c>
      <c r="B181" t="inlineStr">
        <is>
          <t>The University of Kansas Hospital Authority</t>
        </is>
      </c>
      <c r="C181" s="19" t="inlineStr">
        <is>
          <t>WBQ922</t>
        </is>
      </c>
      <c r="D181" t="n">
        <v>70</v>
      </c>
      <c r="E181" t="inlineStr">
        <is>
          <t>ESPS:ACH Special Prcss Fee</t>
        </is>
      </c>
      <c r="F181" t="inlineStr"/>
    </row>
    <row r="182">
      <c r="A182" t="inlineStr">
        <is>
          <t>Robert V. Wright</t>
        </is>
      </c>
      <c r="B182" t="inlineStr">
        <is>
          <t>The University of Kansas Hospital Authority</t>
        </is>
      </c>
      <c r="C182" s="19" t="inlineStr">
        <is>
          <t>WAS369</t>
        </is>
      </c>
      <c r="D182" t="n">
        <v>10.5</v>
      </c>
      <c r="E182" t="inlineStr">
        <is>
          <t>EFIL:E-filed Filing Fee</t>
        </is>
      </c>
      <c r="F182" t="inlineStr">
        <is>
          <t>Court fee</t>
        </is>
      </c>
    </row>
    <row r="183">
      <c r="A183" t="inlineStr">
        <is>
          <t>Robert V. Wright</t>
        </is>
      </c>
      <c r="B183" t="inlineStr">
        <is>
          <t>The University of Kansas Hospital Authority</t>
        </is>
      </c>
      <c r="C183" s="19" t="inlineStr">
        <is>
          <t>WAS369</t>
        </is>
      </c>
      <c r="D183" t="n">
        <v>46</v>
      </c>
      <c r="E183" t="inlineStr">
        <is>
          <t>SHFE:Sheriff's Fee</t>
        </is>
      </c>
      <c r="F183" t="inlineStr">
        <is>
          <t>gmt @ mr poe</t>
        </is>
      </c>
    </row>
    <row r="184">
      <c r="A184" t="inlineStr">
        <is>
          <t>Katie E. Youngblood</t>
        </is>
      </c>
      <c r="B184" t="inlineStr">
        <is>
          <t>St. Luke's Episcopal-Presbyterian Hospitals</t>
        </is>
      </c>
      <c r="C184" s="19" t="inlineStr">
        <is>
          <t>Y27515</t>
        </is>
      </c>
      <c r="D184" t="n">
        <v>49</v>
      </c>
      <c r="E184" t="inlineStr">
        <is>
          <t>EFIL:E-filed Filing Fee</t>
        </is>
      </c>
      <c r="F184" t="inlineStr"/>
    </row>
    <row r="185">
      <c r="A185" t="inlineStr">
        <is>
          <t>Katie E. Youngblood</t>
        </is>
      </c>
      <c r="B185" t="inlineStr">
        <is>
          <t>St. Luke's Episcopal-Presbyterian Hospitals</t>
        </is>
      </c>
      <c r="C185" s="19" t="inlineStr">
        <is>
          <t>Y27515</t>
        </is>
      </c>
      <c r="D185" t="n">
        <v>70</v>
      </c>
      <c r="E185" t="inlineStr">
        <is>
          <t>ESPS:ACH Special Prcss Fee</t>
        </is>
      </c>
      <c r="F185" t="inlineStr"/>
    </row>
    <row r="186">
      <c r="A186" t="inlineStr">
        <is>
          <t>Jazmin A. Zamudio</t>
        </is>
      </c>
      <c r="B186" t="inlineStr">
        <is>
          <t>The University of Kansas Hospital Authority</t>
        </is>
      </c>
      <c r="C186" s="19" t="inlineStr">
        <is>
          <t>Z17780</t>
        </is>
      </c>
      <c r="D186" t="n">
        <v>15</v>
      </c>
      <c r="E186" t="inlineStr">
        <is>
          <t>SHFE:Sheriff's Fee</t>
        </is>
      </c>
      <c r="F186" t="inlineStr"/>
    </row>
  </sheetData>
  <mergeCells count="2">
    <mergeCell ref="B1:E1"/>
    <mergeCell ref="B2:E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27"/>
  <sheetViews>
    <sheetView workbookViewId="0">
      <selection activeCell="C11" sqref="C11"/>
    </sheetView>
  </sheetViews>
  <sheetFormatPr baseColWidth="8" defaultRowHeight="15"/>
  <cols>
    <col width="38.5703125" customWidth="1" min="1" max="1"/>
    <col width="25.5703125" customWidth="1" min="2" max="2"/>
    <col width="21.5703125" customWidth="1" min="3" max="3"/>
    <col width="16.140625" customWidth="1" style="89" min="4" max="4"/>
    <col width="17" customWidth="1" style="89" min="5" max="5"/>
    <col width="19.28515625" customWidth="1" style="89" min="6" max="6"/>
    <col width="20.140625" customWidth="1" style="89" min="7" max="7"/>
    <col width="20.42578125" customWidth="1" style="89" min="8" max="8"/>
    <col width="13.85546875" customWidth="1" style="89" min="9" max="9"/>
  </cols>
  <sheetData>
    <row r="1">
      <c r="A1" s="75" t="inlineStr">
        <is>
          <t>CONSUMER COLLECTION MANAGEMENT, INC. 2 PAYMENT SHEET</t>
        </is>
      </c>
    </row>
    <row r="2">
      <c r="A2" s="75" t="inlineStr">
        <is>
          <t>Payments Through 10-19-2026</t>
        </is>
      </c>
    </row>
    <row r="4">
      <c r="G4" s="92" t="n">
        <v>0.15</v>
      </c>
      <c r="H4" s="92" t="n">
        <v>0.85</v>
      </c>
    </row>
    <row r="5">
      <c r="C5" t="inlineStr">
        <is>
          <t>Total</t>
        </is>
      </c>
      <c r="D5" s="89">
        <f>SUM(D8:D65000)</f>
        <v/>
      </c>
      <c r="E5" s="89">
        <f>SUM(E8:E65000)</f>
        <v/>
      </c>
      <c r="F5" s="89">
        <f>SUM(F8:F65000)</f>
        <v/>
      </c>
      <c r="G5" s="89">
        <f>SUM(G8:G65000)</f>
        <v/>
      </c>
      <c r="H5" s="89">
        <f>SUM(H8:H65000)</f>
        <v/>
      </c>
      <c r="I5" s="89">
        <f>SUM(I8:I65000)</f>
        <v/>
      </c>
    </row>
    <row r="7">
      <c r="A7" s="71" t="inlineStr">
        <is>
          <t>DEFENDANT'S NAME</t>
        </is>
      </c>
      <c r="B7" s="71" t="inlineStr">
        <is>
          <t>PLAINTIFF</t>
        </is>
      </c>
      <c r="C7" s="73" t="inlineStr">
        <is>
          <t>REF NO.</t>
        </is>
      </c>
      <c r="D7" s="91" t="inlineStr">
        <is>
          <t xml:space="preserve"> TOTAL PAYMENT </t>
        </is>
      </c>
      <c r="E7" s="91" t="n"/>
      <c r="F7" s="91" t="inlineStr">
        <is>
          <t xml:space="preserve"> COSTS
RETURNED </t>
        </is>
      </c>
      <c r="G7" s="91" t="inlineStr">
        <is>
          <t xml:space="preserve"> CLIENT
SHARE </t>
        </is>
      </c>
      <c r="H7" s="91" t="inlineStr">
        <is>
          <t xml:space="preserve"> BW, LLP SHARE </t>
        </is>
      </c>
      <c r="I7" s="91" t="inlineStr">
        <is>
          <t>BW, LLP INTEREST</t>
        </is>
      </c>
      <c r="J7" s="73" t="inlineStr">
        <is>
          <t>Notes</t>
        </is>
      </c>
      <c r="K7" s="74" t="n"/>
      <c r="L7" s="11" t="n"/>
    </row>
    <row r="8" ht="26.25" customHeight="1">
      <c r="E8" s="91" t="inlineStr">
        <is>
          <t xml:space="preserve"> APPLIED TO PRIN </t>
        </is>
      </c>
      <c r="L8" s="11" t="n"/>
    </row>
    <row r="9">
      <c r="A9" s="11" t="inlineStr">
        <is>
          <t>Lindsay A. Allmeyer</t>
        </is>
      </c>
      <c r="B9" s="11" t="inlineStr">
        <is>
          <t>St. Luke's Episcopal-Presbyterian Hospitals</t>
        </is>
      </c>
      <c r="C9" s="11" t="inlineStr">
        <is>
          <t>AO6839</t>
        </is>
      </c>
      <c r="D9" s="93" t="n">
        <v>441.78</v>
      </c>
      <c r="E9" s="93" t="n">
        <v>228.28</v>
      </c>
      <c r="F9" s="93" t="n">
        <v>213.5</v>
      </c>
      <c r="G9" s="93" t="n">
        <v>34.24</v>
      </c>
      <c r="H9" s="93" t="n">
        <v>194.04</v>
      </c>
      <c r="I9" s="93" t="n">
        <v>0</v>
      </c>
      <c r="J9" s="11" t="inlineStr"/>
      <c r="K9" s="11" t="n"/>
      <c r="L9" s="11" t="n"/>
    </row>
    <row r="10">
      <c r="A10" s="11" t="inlineStr">
        <is>
          <t>Hanadi W. Alsaadi</t>
        </is>
      </c>
      <c r="B10" s="11" t="inlineStr">
        <is>
          <t>St. Luke's Episcopal-Presbyterian Hospitals</t>
        </is>
      </c>
      <c r="C10" s="11" t="inlineStr">
        <is>
          <t>AM6076</t>
        </is>
      </c>
      <c r="D10" s="93" t="n">
        <v>345</v>
      </c>
      <c r="E10" s="93" t="n">
        <v>345</v>
      </c>
      <c r="F10" s="93" t="n">
        <v>0</v>
      </c>
      <c r="G10" s="93" t="n">
        <v>51.75</v>
      </c>
      <c r="H10" s="93" t="n">
        <v>293.25</v>
      </c>
      <c r="I10" s="93" t="n">
        <v>0</v>
      </c>
      <c r="J10" s="11" t="inlineStr"/>
      <c r="K10" s="11" t="n"/>
      <c r="L10" s="11" t="n"/>
    </row>
    <row r="11">
      <c r="A11" s="11" t="inlineStr">
        <is>
          <t>Paula L Baechle</t>
        </is>
      </c>
      <c r="B11" s="11" t="inlineStr">
        <is>
          <t>St. Luke's Episcopal-Presbyterian Hospitals</t>
        </is>
      </c>
      <c r="C11" s="11" t="inlineStr">
        <is>
          <t>BNL305</t>
        </is>
      </c>
      <c r="D11" s="93" t="n">
        <v>120</v>
      </c>
      <c r="E11" s="93" t="n">
        <v>120</v>
      </c>
      <c r="F11" s="93" t="n">
        <v>0</v>
      </c>
      <c r="G11" s="93" t="n">
        <v>18</v>
      </c>
      <c r="H11" s="93" t="n">
        <v>102</v>
      </c>
      <c r="I11" s="93" t="n">
        <v>0</v>
      </c>
      <c r="J11" s="11" t="inlineStr"/>
      <c r="K11" s="11" t="n"/>
      <c r="L11" s="11" t="n"/>
    </row>
    <row r="12">
      <c r="A12" s="11" t="inlineStr">
        <is>
          <t>Danielle M. Bellamy</t>
        </is>
      </c>
      <c r="B12" s="11" t="inlineStr">
        <is>
          <t>St. Luke's Episcopal-Presbyterian Hospitals</t>
        </is>
      </c>
      <c r="C12" s="11" t="inlineStr">
        <is>
          <t>BMY901</t>
        </is>
      </c>
      <c r="D12" s="93" t="n">
        <v>200</v>
      </c>
      <c r="E12" s="93" t="n">
        <v>200</v>
      </c>
      <c r="F12" s="93" t="n">
        <v>0</v>
      </c>
      <c r="G12" s="93" t="n">
        <v>30</v>
      </c>
      <c r="H12" s="93" t="n">
        <v>170</v>
      </c>
      <c r="I12" s="93" t="n">
        <v>0</v>
      </c>
      <c r="J12" s="11" t="inlineStr"/>
      <c r="K12" s="11" t="n"/>
      <c r="L12" s="11" t="n"/>
    </row>
    <row r="13">
      <c r="A13" s="11" t="inlineStr">
        <is>
          <t>Gregory Benson</t>
        </is>
      </c>
      <c r="B13" s="11" t="inlineStr">
        <is>
          <t>St. Luke's Episcopal-Presbyterian Hospitals</t>
        </is>
      </c>
      <c r="C13" s="11" t="inlineStr">
        <is>
          <t>BMY953</t>
        </is>
      </c>
      <c r="D13" s="93" t="n">
        <v>445.26</v>
      </c>
      <c r="E13" s="93" t="n">
        <v>261.56</v>
      </c>
      <c r="F13" s="93" t="n">
        <v>0</v>
      </c>
      <c r="G13" s="93" t="n">
        <v>39.23</v>
      </c>
      <c r="H13" s="93" t="n">
        <v>222.33</v>
      </c>
      <c r="I13" s="93" t="n">
        <v>183.7</v>
      </c>
      <c r="J13" s="11" t="inlineStr"/>
      <c r="K13" s="11" t="n"/>
      <c r="L13" s="11" t="n"/>
    </row>
    <row r="14">
      <c r="A14" s="11" t="inlineStr">
        <is>
          <t>Julia Boyd</t>
        </is>
      </c>
      <c r="B14" s="11" t="inlineStr">
        <is>
          <t>St. Luke's Episcopal-Presbyterian Hospitals</t>
        </is>
      </c>
      <c r="C14" s="11" t="inlineStr">
        <is>
          <t>BLS430</t>
        </is>
      </c>
      <c r="D14" s="93" t="n">
        <v>71.67</v>
      </c>
      <c r="E14" s="93" t="n">
        <v>71.67</v>
      </c>
      <c r="F14" s="93" t="n">
        <v>0</v>
      </c>
      <c r="G14" s="93" t="n">
        <v>10.75</v>
      </c>
      <c r="H14" s="93" t="n">
        <v>60.92</v>
      </c>
      <c r="I14" s="93" t="n">
        <v>0</v>
      </c>
      <c r="J14" s="11" t="inlineStr"/>
    </row>
    <row r="15">
      <c r="A15" s="11" t="inlineStr">
        <is>
          <t>Meghan R. Burch</t>
        </is>
      </c>
      <c r="B15" s="11" t="inlineStr">
        <is>
          <t>St. Luke's Episcopal-Presbyterian Hospitals</t>
        </is>
      </c>
      <c r="C15" s="11" t="inlineStr">
        <is>
          <t>BMY931</t>
        </is>
      </c>
      <c r="D15" s="93" t="n">
        <v>776.1900000000001</v>
      </c>
      <c r="E15" s="93" t="n">
        <v>530.45</v>
      </c>
      <c r="F15" s="93" t="n">
        <v>175.5</v>
      </c>
      <c r="G15" s="93" t="n">
        <v>79.56999999999999</v>
      </c>
      <c r="H15" s="93" t="n">
        <v>450.88</v>
      </c>
      <c r="I15" s="93" t="n">
        <v>70.23999999999999</v>
      </c>
      <c r="J15" s="11" t="inlineStr"/>
    </row>
    <row r="16">
      <c r="A16" s="11" t="inlineStr">
        <is>
          <t>Cicily N. Byas</t>
        </is>
      </c>
      <c r="B16" s="11" t="inlineStr">
        <is>
          <t>St. Luke's Episcopal-Presbyterian Hospitals</t>
        </is>
      </c>
      <c r="C16" s="11" t="inlineStr">
        <is>
          <t>BMS027</t>
        </is>
      </c>
      <c r="D16" s="93" t="n">
        <v>360.39</v>
      </c>
      <c r="E16" s="93" t="n">
        <v>360.39</v>
      </c>
      <c r="F16" s="93" t="n">
        <v>0</v>
      </c>
      <c r="G16" s="93" t="n">
        <v>54.06</v>
      </c>
      <c r="H16" s="93" t="n">
        <v>306.33</v>
      </c>
      <c r="I16" s="93" t="n">
        <v>0</v>
      </c>
      <c r="J16" s="11" t="inlineStr"/>
    </row>
    <row r="17">
      <c r="A17" s="11" t="inlineStr">
        <is>
          <t>Chloe O. Camacho</t>
        </is>
      </c>
      <c r="B17" s="11" t="inlineStr">
        <is>
          <t>The University of Kansas Hospital Authority</t>
        </is>
      </c>
      <c r="C17" s="11" t="inlineStr">
        <is>
          <t>CFY108</t>
        </is>
      </c>
      <c r="D17" s="93" t="n">
        <v>707.6799999999999</v>
      </c>
      <c r="E17" s="93" t="n">
        <v>679.9299999999999</v>
      </c>
      <c r="F17" s="93" t="n">
        <v>27.75</v>
      </c>
      <c r="G17" s="93" t="n">
        <v>101.99</v>
      </c>
      <c r="H17" s="93" t="n">
        <v>577.9400000000001</v>
      </c>
      <c r="I17" s="93" t="n">
        <v>0</v>
      </c>
      <c r="J17" s="11" t="inlineStr"/>
    </row>
    <row r="18">
      <c r="A18" s="11" t="inlineStr">
        <is>
          <t>Jordan M. Creamer</t>
        </is>
      </c>
      <c r="B18" s="11" t="inlineStr">
        <is>
          <t>St. Luke's Episcopal-Presbyterian Hospitals</t>
        </is>
      </c>
      <c r="C18" s="11" t="inlineStr">
        <is>
          <t>CGI802</t>
        </is>
      </c>
      <c r="D18" s="93" t="n">
        <v>767.92</v>
      </c>
      <c r="E18" s="93" t="n">
        <v>558.89</v>
      </c>
      <c r="F18" s="93" t="n">
        <v>0</v>
      </c>
      <c r="G18" s="93" t="n">
        <v>83.83</v>
      </c>
      <c r="H18" s="93" t="n">
        <v>475.06</v>
      </c>
      <c r="I18" s="93" t="n">
        <v>209.03</v>
      </c>
      <c r="J18" s="11" t="inlineStr"/>
    </row>
    <row r="19">
      <c r="A19" s="11" t="inlineStr">
        <is>
          <t>Joseph V. Dawidouski</t>
        </is>
      </c>
      <c r="B19" s="11" t="inlineStr">
        <is>
          <t>St. Luke's Episcopal-Presbyterian Hospitals</t>
        </is>
      </c>
      <c r="C19" s="11" t="inlineStr">
        <is>
          <t>DZ8214</t>
        </is>
      </c>
      <c r="D19" s="93" t="n">
        <v>588.14</v>
      </c>
      <c r="E19" s="93" t="n">
        <v>588.14</v>
      </c>
      <c r="F19" s="93" t="n">
        <v>0</v>
      </c>
      <c r="G19" s="93" t="n">
        <v>88.22</v>
      </c>
      <c r="H19" s="93" t="n">
        <v>499.92</v>
      </c>
      <c r="I19" s="93" t="n">
        <v>0</v>
      </c>
      <c r="J19" s="11" t="inlineStr"/>
    </row>
    <row r="20">
      <c r="A20" s="11" t="inlineStr">
        <is>
          <t>Devin Denney</t>
        </is>
      </c>
      <c r="B20" s="11" t="inlineStr">
        <is>
          <t>St. Luke's Episcopal-Presbyterian Hospitals</t>
        </is>
      </c>
      <c r="C20" s="11" t="inlineStr">
        <is>
          <t>DY8807</t>
        </is>
      </c>
      <c r="D20" s="93" t="n">
        <v>456.45</v>
      </c>
      <c r="E20" s="93" t="n">
        <v>431.61</v>
      </c>
      <c r="F20" s="93" t="n">
        <v>0</v>
      </c>
      <c r="G20" s="93" t="n">
        <v>64.73999999999999</v>
      </c>
      <c r="H20" s="93" t="n">
        <v>366.87</v>
      </c>
      <c r="I20" s="93" t="n">
        <v>24.84</v>
      </c>
      <c r="J20" s="11" t="inlineStr"/>
    </row>
    <row r="21">
      <c r="A21" s="11" t="inlineStr">
        <is>
          <t>Rhonda L. Dunakey</t>
        </is>
      </c>
      <c r="B21" s="11" t="inlineStr">
        <is>
          <t>St. Luke's Episcopal-Presbyterian Hospitals</t>
        </is>
      </c>
      <c r="C21" s="11" t="inlineStr">
        <is>
          <t>DY5989</t>
        </is>
      </c>
      <c r="D21" s="93" t="n">
        <v>50</v>
      </c>
      <c r="E21" s="93" t="n">
        <v>46</v>
      </c>
      <c r="F21" s="93" t="n">
        <v>4</v>
      </c>
      <c r="G21" s="93" t="n">
        <v>6.9</v>
      </c>
      <c r="H21" s="93" t="n">
        <v>39.1</v>
      </c>
      <c r="I21" s="93" t="n">
        <v>0</v>
      </c>
      <c r="J21" s="11" t="inlineStr"/>
    </row>
    <row r="22">
      <c r="A22" s="11" t="inlineStr">
        <is>
          <t>Shawn M. Fitzpatrick</t>
        </is>
      </c>
      <c r="B22" s="11" t="inlineStr">
        <is>
          <t>St. Luke's Episcopal-Presbyterian Hospitals</t>
        </is>
      </c>
      <c r="C22" s="11" t="inlineStr">
        <is>
          <t>FO9437</t>
        </is>
      </c>
      <c r="D22" s="93" t="n">
        <v>472.21</v>
      </c>
      <c r="E22" s="93" t="n">
        <v>472.21</v>
      </c>
      <c r="F22" s="93" t="n">
        <v>0</v>
      </c>
      <c r="G22" s="93" t="n">
        <v>70.83</v>
      </c>
      <c r="H22" s="93" t="n">
        <v>401.38</v>
      </c>
      <c r="I22" s="93" t="n">
        <v>0</v>
      </c>
      <c r="J22" s="11" t="inlineStr"/>
    </row>
    <row r="23">
      <c r="A23" s="11" t="inlineStr">
        <is>
          <t>Zachary J. Gonzales</t>
        </is>
      </c>
      <c r="B23" s="11" t="inlineStr">
        <is>
          <t>St. Luke's Episcopal-Presbyterian Hospitals</t>
        </is>
      </c>
      <c r="C23" s="11" t="inlineStr">
        <is>
          <t>GAP620</t>
        </is>
      </c>
      <c r="D23" s="93" t="n">
        <v>150</v>
      </c>
      <c r="E23" s="93" t="n">
        <v>146</v>
      </c>
      <c r="F23" s="93" t="n">
        <v>4</v>
      </c>
      <c r="G23" s="93" t="n">
        <v>21.9</v>
      </c>
      <c r="H23" s="93" t="n">
        <v>124.1</v>
      </c>
      <c r="I23" s="93" t="n">
        <v>0</v>
      </c>
      <c r="J23" s="11" t="inlineStr"/>
    </row>
    <row r="24">
      <c r="A24" s="11" t="inlineStr">
        <is>
          <t>Donna H. Hynes</t>
        </is>
      </c>
      <c r="B24" s="11" t="inlineStr">
        <is>
          <t>St. Luke's Episcopal-Presbyterian Hospitals</t>
        </is>
      </c>
      <c r="C24" s="11" t="inlineStr">
        <is>
          <t>HDW088</t>
        </is>
      </c>
      <c r="D24" s="93" t="n">
        <v>200</v>
      </c>
      <c r="E24" s="93" t="n">
        <v>200</v>
      </c>
      <c r="F24" s="93" t="n">
        <v>0</v>
      </c>
      <c r="G24" s="93" t="n">
        <v>30</v>
      </c>
      <c r="H24" s="93" t="n">
        <v>170</v>
      </c>
      <c r="I24" s="93" t="n">
        <v>0</v>
      </c>
      <c r="J24" s="11" t="inlineStr"/>
    </row>
    <row r="25">
      <c r="A25" s="11" t="inlineStr">
        <is>
          <t>Stacy L. Jackson</t>
        </is>
      </c>
      <c r="B25" s="11" t="inlineStr">
        <is>
          <t>St. Luke's Episcopal-Presbyterian Hospitals</t>
        </is>
      </c>
      <c r="C25" s="11" t="inlineStr">
        <is>
          <t>JW0734</t>
        </is>
      </c>
      <c r="D25" s="93" t="n">
        <v>1971.88</v>
      </c>
      <c r="E25" s="93" t="n">
        <v>1436.47</v>
      </c>
      <c r="F25" s="93" t="n">
        <v>119</v>
      </c>
      <c r="G25" s="93" t="n">
        <v>215.47</v>
      </c>
      <c r="H25" s="93" t="n">
        <v>1221</v>
      </c>
      <c r="I25" s="93" t="n">
        <v>416.41</v>
      </c>
      <c r="J25" s="11" t="inlineStr"/>
    </row>
    <row r="26">
      <c r="A26" s="11" t="inlineStr">
        <is>
          <t>Natalie D. Mann</t>
        </is>
      </c>
      <c r="B26" s="11" t="inlineStr">
        <is>
          <t>The University of Kansas Hospital Authority</t>
        </is>
      </c>
      <c r="C26" s="11" t="inlineStr">
        <is>
          <t>MHI298</t>
        </is>
      </c>
      <c r="D26" s="93" t="n">
        <v>2525.29</v>
      </c>
      <c r="E26" s="93" t="n">
        <v>2344.37</v>
      </c>
      <c r="F26" s="93" t="n">
        <v>0</v>
      </c>
      <c r="G26" s="93" t="n">
        <v>351.66</v>
      </c>
      <c r="H26" s="93" t="n">
        <v>1992.71</v>
      </c>
      <c r="I26" s="93" t="n">
        <v>180.92</v>
      </c>
      <c r="J26" s="11" t="inlineStr"/>
    </row>
    <row r="27">
      <c r="A27" s="11" t="inlineStr">
        <is>
          <t>Brett A Marquardt</t>
        </is>
      </c>
      <c r="B27" s="11" t="inlineStr">
        <is>
          <t>The University of Kansas Hospital Authority</t>
        </is>
      </c>
      <c r="C27" s="11" t="inlineStr">
        <is>
          <t>MGJ459</t>
        </is>
      </c>
      <c r="D27" s="93" t="n">
        <v>253.77</v>
      </c>
      <c r="E27" s="93" t="n">
        <v>253.77</v>
      </c>
      <c r="F27" s="93" t="n">
        <v>0</v>
      </c>
      <c r="G27" s="93" t="n">
        <v>38.07</v>
      </c>
      <c r="H27" s="93" t="n">
        <v>215.7</v>
      </c>
      <c r="I27" s="93" t="n">
        <v>0</v>
      </c>
      <c r="J27" s="11" t="inlineStr"/>
    </row>
    <row r="28">
      <c r="A28" s="11" t="inlineStr">
        <is>
          <t>Lauren T. Martens</t>
        </is>
      </c>
      <c r="B28" s="11" t="inlineStr">
        <is>
          <t>The University of Kansas Hospital Authority</t>
        </is>
      </c>
      <c r="C28" s="11" t="inlineStr">
        <is>
          <t>MGW413</t>
        </is>
      </c>
      <c r="D28" s="93" t="n">
        <v>515.3</v>
      </c>
      <c r="E28" s="93" t="n">
        <v>515.3</v>
      </c>
      <c r="F28" s="93" t="n">
        <v>0</v>
      </c>
      <c r="G28" s="93" t="n">
        <v>77.29000000000001</v>
      </c>
      <c r="H28" s="93" t="n">
        <v>438</v>
      </c>
      <c r="I28" s="93" t="n">
        <v>0</v>
      </c>
      <c r="J28" s="11" t="inlineStr"/>
    </row>
    <row r="29">
      <c r="A29" s="11" t="inlineStr">
        <is>
          <t>Desiree C May</t>
        </is>
      </c>
      <c r="B29" s="11" t="inlineStr">
        <is>
          <t>The University of Kansas Hospital Authority</t>
        </is>
      </c>
      <c r="C29" s="11" t="inlineStr">
        <is>
          <t>MGT785</t>
        </is>
      </c>
      <c r="D29" s="93" t="n">
        <v>100</v>
      </c>
      <c r="E29" s="93" t="n">
        <v>100</v>
      </c>
      <c r="F29" s="93" t="n">
        <v>0</v>
      </c>
      <c r="G29" s="93" t="n">
        <v>15</v>
      </c>
      <c r="H29" s="93" t="n">
        <v>85</v>
      </c>
      <c r="I29" s="93" t="n">
        <v>0</v>
      </c>
      <c r="J29" s="11" t="inlineStr"/>
    </row>
    <row r="30">
      <c r="A30" s="11" t="inlineStr">
        <is>
          <t>Kerry L. McCarty</t>
        </is>
      </c>
      <c r="B30" s="11" t="inlineStr">
        <is>
          <t>The University of Kansas Hospital Authority</t>
        </is>
      </c>
      <c r="C30" s="11" t="inlineStr">
        <is>
          <t>MHG918</t>
        </is>
      </c>
      <c r="D30" s="93" t="n">
        <v>1197.64</v>
      </c>
      <c r="E30" s="93" t="n">
        <v>1196.9</v>
      </c>
      <c r="F30" s="93" t="n">
        <v>0.74</v>
      </c>
      <c r="G30" s="93" t="n">
        <v>179.53</v>
      </c>
      <c r="H30" s="93" t="n">
        <v>1017.37</v>
      </c>
      <c r="I30" s="93" t="n">
        <v>0</v>
      </c>
      <c r="J30" s="11" t="inlineStr"/>
    </row>
    <row r="31">
      <c r="A31" s="11" t="inlineStr">
        <is>
          <t>Harold McClenton Jr.</t>
        </is>
      </c>
      <c r="B31" s="11" t="inlineStr">
        <is>
          <t>The University of Kansas Hospital Authority</t>
        </is>
      </c>
      <c r="C31" s="11" t="inlineStr">
        <is>
          <t>MHA406</t>
        </is>
      </c>
      <c r="D31" s="93" t="n">
        <v>175</v>
      </c>
      <c r="E31" s="93" t="n">
        <v>175</v>
      </c>
      <c r="F31" s="93" t="n">
        <v>0</v>
      </c>
      <c r="G31" s="93" t="n">
        <v>26.25</v>
      </c>
      <c r="H31" s="93" t="n">
        <v>148.75</v>
      </c>
      <c r="I31" s="93" t="n">
        <v>0</v>
      </c>
      <c r="J31" s="11" t="inlineStr"/>
    </row>
    <row r="32">
      <c r="A32" s="11" t="inlineStr">
        <is>
          <t>Whitney S McFarland</t>
        </is>
      </c>
      <c r="B32" s="11" t="inlineStr">
        <is>
          <t>The University of Kansas Hospital Authority</t>
        </is>
      </c>
      <c r="C32" s="11" t="inlineStr">
        <is>
          <t>MFU859</t>
        </is>
      </c>
      <c r="D32" s="93" t="n">
        <v>200</v>
      </c>
      <c r="E32" s="93" t="n">
        <v>87.8</v>
      </c>
      <c r="F32" s="93" t="n">
        <v>0</v>
      </c>
      <c r="G32" s="93" t="n">
        <v>13.17</v>
      </c>
      <c r="H32" s="93" t="n">
        <v>74.63</v>
      </c>
      <c r="I32" s="93" t="n">
        <v>112.2</v>
      </c>
      <c r="J32" s="11" t="inlineStr"/>
    </row>
    <row r="33">
      <c r="A33" s="11" t="inlineStr">
        <is>
          <t>Brian A. McGary</t>
        </is>
      </c>
      <c r="B33" s="11" t="inlineStr">
        <is>
          <t>The University of Kansas Hospital Authority</t>
        </is>
      </c>
      <c r="C33" s="11" t="inlineStr">
        <is>
          <t>MFL544</t>
        </is>
      </c>
      <c r="D33" s="93" t="n">
        <v>60</v>
      </c>
      <c r="E33" s="93" t="n">
        <v>60</v>
      </c>
      <c r="F33" s="93" t="n">
        <v>0</v>
      </c>
      <c r="G33" s="93" t="n">
        <v>9</v>
      </c>
      <c r="H33" s="93" t="n">
        <v>51</v>
      </c>
      <c r="I33" s="93" t="n">
        <v>0</v>
      </c>
      <c r="J33" s="11" t="inlineStr"/>
    </row>
    <row r="34">
      <c r="A34" s="11" t="inlineStr">
        <is>
          <t>Jason McMullen</t>
        </is>
      </c>
      <c r="B34" s="11" t="inlineStr">
        <is>
          <t>The University of Kansas Hospital Authority</t>
        </is>
      </c>
      <c r="C34" s="11" t="inlineStr">
        <is>
          <t>MFP003</t>
        </is>
      </c>
      <c r="D34" s="93" t="n">
        <v>338.35</v>
      </c>
      <c r="E34" s="93" t="n">
        <v>338.35</v>
      </c>
      <c r="F34" s="93" t="n">
        <v>0</v>
      </c>
      <c r="G34" s="93" t="n">
        <v>50.75</v>
      </c>
      <c r="H34" s="93" t="n">
        <v>287.6</v>
      </c>
      <c r="I34" s="93" t="n">
        <v>0</v>
      </c>
      <c r="J34" s="11" t="inlineStr"/>
    </row>
    <row r="35">
      <c r="A35" s="11" t="inlineStr">
        <is>
          <t>Amisha P. Mehta</t>
        </is>
      </c>
      <c r="B35" s="11" t="inlineStr">
        <is>
          <t>The University of Kansas Hospital Authority</t>
        </is>
      </c>
      <c r="C35" s="11" t="inlineStr">
        <is>
          <t>MGU422</t>
        </is>
      </c>
      <c r="D35" s="93" t="n">
        <v>609</v>
      </c>
      <c r="E35" s="93" t="n">
        <v>538.3200000000001</v>
      </c>
      <c r="F35" s="93" t="n">
        <v>0</v>
      </c>
      <c r="G35" s="93" t="n">
        <v>80.75</v>
      </c>
      <c r="H35" s="93" t="n">
        <v>457.57</v>
      </c>
      <c r="I35" s="93" t="n">
        <v>70.68000000000001</v>
      </c>
      <c r="J35" s="11" t="inlineStr"/>
    </row>
    <row r="36">
      <c r="A36" s="11" t="inlineStr">
        <is>
          <t>Frances G. Meikenhous</t>
        </is>
      </c>
      <c r="B36" s="11" t="inlineStr">
        <is>
          <t>The University of Kansas Hospital Authority</t>
        </is>
      </c>
      <c r="C36" s="11" t="inlineStr">
        <is>
          <t>MFZ529</t>
        </is>
      </c>
      <c r="D36" s="93" t="n">
        <v>200</v>
      </c>
      <c r="E36" s="93" t="n">
        <v>200</v>
      </c>
      <c r="F36" s="93" t="n">
        <v>0</v>
      </c>
      <c r="G36" s="93" t="n">
        <v>30</v>
      </c>
      <c r="H36" s="93" t="n">
        <v>170</v>
      </c>
      <c r="I36" s="93" t="n">
        <v>0</v>
      </c>
      <c r="J36" s="11" t="inlineStr"/>
    </row>
    <row r="37">
      <c r="A37" s="11" t="inlineStr">
        <is>
          <t>Jennifer N. Mendoza</t>
        </is>
      </c>
      <c r="B37" s="11" t="inlineStr">
        <is>
          <t>The University of Kansas Hospital Authority</t>
        </is>
      </c>
      <c r="C37" s="11" t="inlineStr">
        <is>
          <t>MGY691</t>
        </is>
      </c>
      <c r="D37" s="93" t="n">
        <v>1159.78</v>
      </c>
      <c r="E37" s="93" t="n">
        <v>1159.78</v>
      </c>
      <c r="F37" s="93" t="n">
        <v>0</v>
      </c>
      <c r="G37" s="93" t="n">
        <v>173.97</v>
      </c>
      <c r="H37" s="93" t="n">
        <v>985.8099999999999</v>
      </c>
      <c r="I37" s="93" t="n">
        <v>0</v>
      </c>
      <c r="J37" s="11" t="inlineStr"/>
    </row>
    <row r="38">
      <c r="A38" s="11" t="inlineStr">
        <is>
          <t>Crystal M Miles</t>
        </is>
      </c>
      <c r="B38" s="11" t="inlineStr">
        <is>
          <t>The University of Kansas Hospital Authority</t>
        </is>
      </c>
      <c r="C38" s="11" t="inlineStr">
        <is>
          <t>MFU908</t>
        </is>
      </c>
      <c r="D38" s="93" t="n">
        <v>424.32</v>
      </c>
      <c r="E38" s="93" t="n">
        <v>424.32</v>
      </c>
      <c r="F38" s="93" t="n">
        <v>0</v>
      </c>
      <c r="G38" s="93" t="n">
        <v>63.65</v>
      </c>
      <c r="H38" s="93" t="n">
        <v>360.67</v>
      </c>
      <c r="I38" s="93" t="n">
        <v>0</v>
      </c>
      <c r="J38" s="11" t="inlineStr"/>
    </row>
    <row r="39">
      <c r="A39" s="11" t="inlineStr">
        <is>
          <t>Shannon R. Miner</t>
        </is>
      </c>
      <c r="B39" s="11" t="inlineStr">
        <is>
          <t>The University of Kansas Hospital Authority</t>
        </is>
      </c>
      <c r="C39" s="11" t="inlineStr">
        <is>
          <t>MGV408</t>
        </is>
      </c>
      <c r="D39" s="93" t="n">
        <v>200</v>
      </c>
      <c r="E39" s="93" t="n">
        <v>185</v>
      </c>
      <c r="F39" s="93" t="n">
        <v>15</v>
      </c>
      <c r="G39" s="93" t="n">
        <v>27.75</v>
      </c>
      <c r="H39" s="93" t="n">
        <v>157.25</v>
      </c>
      <c r="I39" s="93" t="n">
        <v>0</v>
      </c>
      <c r="J39" s="11" t="inlineStr"/>
    </row>
    <row r="40">
      <c r="A40" s="11" t="inlineStr">
        <is>
          <t>Curtis M Moke</t>
        </is>
      </c>
      <c r="B40" s="11" t="inlineStr">
        <is>
          <t>The University of Kansas Hospital Authority</t>
        </is>
      </c>
      <c r="C40" s="11" t="inlineStr">
        <is>
          <t>MGU677</t>
        </is>
      </c>
      <c r="D40" s="93" t="n">
        <v>200</v>
      </c>
      <c r="E40" s="93" t="n">
        <v>0</v>
      </c>
      <c r="F40" s="93" t="n">
        <v>200</v>
      </c>
      <c r="G40" s="93" t="n">
        <v>0</v>
      </c>
      <c r="H40" s="93" t="n">
        <v>0</v>
      </c>
      <c r="I40" s="93" t="n">
        <v>0</v>
      </c>
      <c r="J40" s="11" t="inlineStr"/>
    </row>
    <row r="41">
      <c r="A41" s="11" t="inlineStr">
        <is>
          <t>Dustin W. Moore</t>
        </is>
      </c>
      <c r="B41" s="11" t="inlineStr">
        <is>
          <t>The University of Kansas Hospital Authority</t>
        </is>
      </c>
      <c r="C41" s="11" t="inlineStr">
        <is>
          <t>MGA130</t>
        </is>
      </c>
      <c r="D41" s="93" t="n">
        <v>585.88</v>
      </c>
      <c r="E41" s="93" t="n">
        <v>585.88</v>
      </c>
      <c r="F41" s="93" t="n">
        <v>0</v>
      </c>
      <c r="G41" s="93" t="n">
        <v>87.88</v>
      </c>
      <c r="H41" s="93" t="n">
        <v>498</v>
      </c>
      <c r="I41" s="93" t="n">
        <v>0</v>
      </c>
      <c r="J41" s="11" t="inlineStr"/>
    </row>
    <row r="42">
      <c r="A42" s="11" t="inlineStr">
        <is>
          <t>Alejandra G Mora</t>
        </is>
      </c>
      <c r="B42" s="11" t="inlineStr">
        <is>
          <t>The University of Kansas Hospital Authority</t>
        </is>
      </c>
      <c r="C42" s="11" t="inlineStr">
        <is>
          <t>MGS800</t>
        </is>
      </c>
      <c r="D42" s="93" t="n">
        <v>150</v>
      </c>
      <c r="E42" s="93" t="n">
        <v>150</v>
      </c>
      <c r="F42" s="93" t="n">
        <v>0</v>
      </c>
      <c r="G42" s="93" t="n">
        <v>22.5</v>
      </c>
      <c r="H42" s="93" t="n">
        <v>127.5</v>
      </c>
      <c r="I42" s="93" t="n">
        <v>0</v>
      </c>
      <c r="J42" s="11" t="inlineStr"/>
    </row>
    <row r="43">
      <c r="A43" s="11" t="inlineStr">
        <is>
          <t>Ashley N. Munguia</t>
        </is>
      </c>
      <c r="B43" s="11" t="inlineStr">
        <is>
          <t>The University of Kansas Hospital Authority</t>
        </is>
      </c>
      <c r="C43" s="11" t="inlineStr">
        <is>
          <t>MFQ713</t>
        </is>
      </c>
      <c r="D43" s="93" t="n">
        <v>342.75</v>
      </c>
      <c r="E43" s="93" t="n">
        <v>342.75</v>
      </c>
      <c r="F43" s="93" t="n">
        <v>0</v>
      </c>
      <c r="G43" s="93" t="n">
        <v>51.41</v>
      </c>
      <c r="H43" s="93" t="n">
        <v>291.34</v>
      </c>
      <c r="I43" s="93" t="n">
        <v>0</v>
      </c>
      <c r="J43" s="11" t="inlineStr"/>
    </row>
    <row r="44">
      <c r="A44" s="11" t="inlineStr">
        <is>
          <t>Michael Myers</t>
        </is>
      </c>
      <c r="B44" s="11" t="inlineStr">
        <is>
          <t>The University of Kansas Hospital Authority</t>
        </is>
      </c>
      <c r="C44" s="11" t="inlineStr">
        <is>
          <t>MFU215</t>
        </is>
      </c>
      <c r="D44" s="93" t="n">
        <v>993.1799999999999</v>
      </c>
      <c r="E44" s="93" t="n">
        <v>169.77</v>
      </c>
      <c r="F44" s="93" t="n">
        <v>0</v>
      </c>
      <c r="G44" s="93" t="n">
        <v>25.47</v>
      </c>
      <c r="H44" s="93" t="n">
        <v>144.3</v>
      </c>
      <c r="I44" s="93" t="n">
        <v>823.41</v>
      </c>
      <c r="J44" s="11" t="inlineStr"/>
    </row>
    <row r="45">
      <c r="A45" s="11" t="inlineStr">
        <is>
          <t>Joy E Neven</t>
        </is>
      </c>
      <c r="B45" s="11" t="inlineStr">
        <is>
          <t>The University of Kansas Hospital Authority</t>
        </is>
      </c>
      <c r="C45" s="11" t="inlineStr">
        <is>
          <t>N84320</t>
        </is>
      </c>
      <c r="D45" s="93" t="n">
        <v>416.41</v>
      </c>
      <c r="E45" s="93" t="n">
        <v>416.41</v>
      </c>
      <c r="F45" s="93" t="n">
        <v>0</v>
      </c>
      <c r="G45" s="93" t="n">
        <v>62.46</v>
      </c>
      <c r="H45" s="93" t="n">
        <v>353.95</v>
      </c>
      <c r="I45" s="93" t="n">
        <v>0</v>
      </c>
      <c r="J45" s="11" t="inlineStr"/>
    </row>
    <row r="46">
      <c r="A46" s="11" t="inlineStr">
        <is>
          <t>Christy D. Nevills</t>
        </is>
      </c>
      <c r="B46" s="11" t="inlineStr">
        <is>
          <t>St. Luke's Episcopal-Presbyterian Hospitals</t>
        </is>
      </c>
      <c r="C46" s="11" t="inlineStr">
        <is>
          <t>N86588</t>
        </is>
      </c>
      <c r="D46" s="93" t="n">
        <v>200</v>
      </c>
      <c r="E46" s="93" t="n">
        <v>200</v>
      </c>
      <c r="F46" s="93" t="n">
        <v>0</v>
      </c>
      <c r="G46" s="93" t="n">
        <v>30</v>
      </c>
      <c r="H46" s="93" t="n">
        <v>170</v>
      </c>
      <c r="I46" s="93" t="n">
        <v>0</v>
      </c>
      <c r="J46" s="11" t="inlineStr"/>
    </row>
    <row r="47">
      <c r="A47" s="11" t="inlineStr">
        <is>
          <t>Ann W Njenga</t>
        </is>
      </c>
      <c r="B47" s="11" t="inlineStr">
        <is>
          <t>The University of Kansas Hospital Authority</t>
        </is>
      </c>
      <c r="C47" s="11" t="inlineStr">
        <is>
          <t>N77517</t>
        </is>
      </c>
      <c r="D47" s="93" t="n">
        <v>704.86</v>
      </c>
      <c r="E47" s="93" t="n">
        <v>704.86</v>
      </c>
      <c r="F47" s="93" t="n">
        <v>0</v>
      </c>
      <c r="G47" s="93" t="n">
        <v>105.73</v>
      </c>
      <c r="H47" s="93" t="n">
        <v>599.13</v>
      </c>
      <c r="I47" s="93" t="n">
        <v>0</v>
      </c>
      <c r="J47" s="11" t="inlineStr"/>
    </row>
    <row r="48">
      <c r="A48" s="11" t="inlineStr">
        <is>
          <t>Sunshine A Norris</t>
        </is>
      </c>
      <c r="B48" s="11" t="inlineStr">
        <is>
          <t>The University of Kansas Hospital Authority</t>
        </is>
      </c>
      <c r="C48" s="11" t="inlineStr">
        <is>
          <t>N84251</t>
        </is>
      </c>
      <c r="D48" s="93" t="n">
        <v>112.36</v>
      </c>
      <c r="E48" s="93" t="n">
        <v>112.36</v>
      </c>
      <c r="F48" s="93" t="n">
        <v>0</v>
      </c>
      <c r="G48" s="93" t="n">
        <v>16.85</v>
      </c>
      <c r="H48" s="93" t="n">
        <v>95.51000000000001</v>
      </c>
      <c r="I48" s="93" t="n">
        <v>0</v>
      </c>
      <c r="J48" s="11" t="inlineStr"/>
    </row>
    <row r="49">
      <c r="A49" s="11" t="inlineStr">
        <is>
          <t>Patrice La Shonn Northern</t>
        </is>
      </c>
      <c r="B49" s="11" t="inlineStr">
        <is>
          <t>The University of Kansas Hospital Authority</t>
        </is>
      </c>
      <c r="C49" s="11" t="inlineStr">
        <is>
          <t>N83374</t>
        </is>
      </c>
      <c r="D49" s="93" t="n">
        <v>355.69</v>
      </c>
      <c r="E49" s="93" t="n">
        <v>96</v>
      </c>
      <c r="F49" s="93" t="n">
        <v>0</v>
      </c>
      <c r="G49" s="93" t="n">
        <v>14.4</v>
      </c>
      <c r="H49" s="93" t="n">
        <v>81.59999999999999</v>
      </c>
      <c r="I49" s="93" t="n">
        <v>259.69</v>
      </c>
      <c r="J49" s="11" t="inlineStr"/>
    </row>
    <row r="50">
      <c r="A50" s="11" t="inlineStr">
        <is>
          <t>Tanya M. Osmon</t>
        </is>
      </c>
      <c r="B50" s="11" t="inlineStr">
        <is>
          <t>The University of Kansas Hospital Authority</t>
        </is>
      </c>
      <c r="C50" s="11" t="inlineStr">
        <is>
          <t>O56730</t>
        </is>
      </c>
      <c r="D50" s="93" t="n">
        <v>25</v>
      </c>
      <c r="E50" s="93" t="n">
        <v>25</v>
      </c>
      <c r="F50" s="93" t="n">
        <v>0</v>
      </c>
      <c r="G50" s="93" t="n">
        <v>3.75</v>
      </c>
      <c r="H50" s="93" t="n">
        <v>21.25</v>
      </c>
      <c r="I50" s="93" t="n">
        <v>0</v>
      </c>
      <c r="J50" s="11" t="inlineStr"/>
    </row>
    <row r="51">
      <c r="A51" s="11" t="inlineStr">
        <is>
          <t>Jonathan P. Palmer</t>
        </is>
      </c>
      <c r="B51" s="11" t="inlineStr">
        <is>
          <t>The University of Kansas Hospital Authority</t>
        </is>
      </c>
      <c r="C51" s="11" t="inlineStr">
        <is>
          <t>PN5879</t>
        </is>
      </c>
      <c r="D51" s="93" t="n">
        <v>83.69</v>
      </c>
      <c r="E51" s="93" t="n">
        <v>0</v>
      </c>
      <c r="F51" s="93" t="n">
        <v>83.69</v>
      </c>
      <c r="G51" s="93" t="n">
        <v>0</v>
      </c>
      <c r="H51" s="93" t="n">
        <v>0</v>
      </c>
      <c r="I51" s="93" t="n">
        <v>0</v>
      </c>
      <c r="J51" s="11" t="inlineStr"/>
    </row>
    <row r="52">
      <c r="A52" s="11" t="inlineStr">
        <is>
          <t>Khuram Paracha</t>
        </is>
      </c>
      <c r="B52" s="11" t="inlineStr">
        <is>
          <t>St. Luke's Episcopal-Presbyterian Hospitals</t>
        </is>
      </c>
      <c r="C52" s="11" t="inlineStr">
        <is>
          <t>PQ7853</t>
        </is>
      </c>
      <c r="D52" s="93" t="n">
        <v>1239.5</v>
      </c>
      <c r="E52" s="93" t="n">
        <v>1110</v>
      </c>
      <c r="F52" s="93" t="n">
        <v>129.5</v>
      </c>
      <c r="G52" s="93" t="n">
        <v>166.5</v>
      </c>
      <c r="H52" s="93" t="n">
        <v>943.5</v>
      </c>
      <c r="I52" s="93" t="n">
        <v>0</v>
      </c>
      <c r="J52" s="11" t="inlineStr"/>
    </row>
    <row r="53">
      <c r="A53" s="11" t="inlineStr">
        <is>
          <t>Justin R. M. Parmeter</t>
        </is>
      </c>
      <c r="B53" s="11" t="inlineStr">
        <is>
          <t>The University of Kansas Hospital Authority</t>
        </is>
      </c>
      <c r="C53" s="11" t="inlineStr">
        <is>
          <t>PO0530</t>
        </is>
      </c>
      <c r="D53" s="93" t="n">
        <v>312.99</v>
      </c>
      <c r="E53" s="93" t="n">
        <v>312.99</v>
      </c>
      <c r="F53" s="93" t="n">
        <v>0</v>
      </c>
      <c r="G53" s="93" t="n">
        <v>46.95</v>
      </c>
      <c r="H53" s="93" t="n">
        <v>266.04</v>
      </c>
      <c r="I53" s="93" t="n">
        <v>0</v>
      </c>
      <c r="J53" s="11" t="inlineStr"/>
    </row>
    <row r="54">
      <c r="A54" s="11" t="inlineStr">
        <is>
          <t>Britlin L. Patschke</t>
        </is>
      </c>
      <c r="B54" s="11" t="inlineStr">
        <is>
          <t>The University of Kansas Hospital Authority</t>
        </is>
      </c>
      <c r="C54" s="11" t="inlineStr">
        <is>
          <t>PQ4158</t>
        </is>
      </c>
      <c r="D54" s="93" t="n">
        <v>2000</v>
      </c>
      <c r="E54" s="93" t="n">
        <v>1871</v>
      </c>
      <c r="F54" s="93" t="n">
        <v>129</v>
      </c>
      <c r="G54" s="93" t="n">
        <v>280.65</v>
      </c>
      <c r="H54" s="93" t="n">
        <v>1590.35</v>
      </c>
      <c r="I54" s="93" t="n">
        <v>0</v>
      </c>
      <c r="J54" s="11" t="inlineStr"/>
    </row>
    <row r="55">
      <c r="A55" s="11" t="inlineStr">
        <is>
          <t>Desiraye Pearson</t>
        </is>
      </c>
      <c r="B55" s="11" t="inlineStr">
        <is>
          <t>The University of Kansas Hospital Authority</t>
        </is>
      </c>
      <c r="C55" s="11" t="inlineStr">
        <is>
          <t>PP4051</t>
        </is>
      </c>
      <c r="D55" s="93" t="n">
        <v>100</v>
      </c>
      <c r="E55" s="93" t="n">
        <v>100</v>
      </c>
      <c r="F55" s="93" t="n">
        <v>0</v>
      </c>
      <c r="G55" s="93" t="n">
        <v>15</v>
      </c>
      <c r="H55" s="93" t="n">
        <v>85</v>
      </c>
      <c r="I55" s="93" t="n">
        <v>0</v>
      </c>
      <c r="J55" s="11" t="inlineStr"/>
    </row>
    <row r="56">
      <c r="A56" s="11" t="inlineStr">
        <is>
          <t>Sebastian W. Pelster</t>
        </is>
      </c>
      <c r="B56" s="11" t="inlineStr">
        <is>
          <t>The University of Kansas Hospital Authority</t>
        </is>
      </c>
      <c r="C56" s="11" t="inlineStr">
        <is>
          <t>PQ0579</t>
        </is>
      </c>
      <c r="D56" s="93" t="n">
        <v>531.39</v>
      </c>
      <c r="E56" s="93" t="n">
        <v>531.39</v>
      </c>
      <c r="F56" s="93" t="n">
        <v>0</v>
      </c>
      <c r="G56" s="93" t="n">
        <v>79.70999999999999</v>
      </c>
      <c r="H56" s="93" t="n">
        <v>451.68</v>
      </c>
      <c r="I56" s="93" t="n">
        <v>0</v>
      </c>
      <c r="J56" s="11" t="inlineStr"/>
    </row>
    <row r="57">
      <c r="A57" s="11" t="inlineStr">
        <is>
          <t>Katherine M. Pena</t>
        </is>
      </c>
      <c r="B57" s="11" t="inlineStr">
        <is>
          <t>The University of Kansas Hospital Authority</t>
        </is>
      </c>
      <c r="C57" s="11" t="inlineStr">
        <is>
          <t>PQ1630</t>
        </is>
      </c>
      <c r="D57" s="93" t="n">
        <v>470.69</v>
      </c>
      <c r="E57" s="93" t="n">
        <v>470.69</v>
      </c>
      <c r="F57" s="93" t="n">
        <v>0</v>
      </c>
      <c r="G57" s="93" t="n">
        <v>70.59999999999999</v>
      </c>
      <c r="H57" s="93" t="n">
        <v>400.09</v>
      </c>
      <c r="I57" s="93" t="n">
        <v>0</v>
      </c>
      <c r="J57" s="11" t="inlineStr"/>
    </row>
    <row r="58">
      <c r="A58" s="11" t="inlineStr">
        <is>
          <t>Akilah D. Penny</t>
        </is>
      </c>
      <c r="B58" s="11" t="inlineStr">
        <is>
          <t>St. Luke's Episcopal-Presbyterian Hospitals</t>
        </is>
      </c>
      <c r="C58" s="11" t="inlineStr">
        <is>
          <t>PQ7286</t>
        </is>
      </c>
      <c r="D58" s="93" t="n">
        <v>1926</v>
      </c>
      <c r="E58" s="93" t="n">
        <v>1732</v>
      </c>
      <c r="F58" s="93" t="n">
        <v>194</v>
      </c>
      <c r="G58" s="93" t="n">
        <v>259.8</v>
      </c>
      <c r="H58" s="93" t="n">
        <v>1472.2</v>
      </c>
      <c r="I58" s="93" t="n">
        <v>0</v>
      </c>
      <c r="J58" s="11" t="inlineStr"/>
    </row>
    <row r="59">
      <c r="A59" s="11" t="inlineStr">
        <is>
          <t>Jenee A Petty</t>
        </is>
      </c>
      <c r="B59" s="11" t="inlineStr">
        <is>
          <t>The University of Kansas Hospital Authority</t>
        </is>
      </c>
      <c r="C59" s="11" t="inlineStr">
        <is>
          <t>PP9946</t>
        </is>
      </c>
      <c r="D59" s="93" t="n">
        <v>151.67</v>
      </c>
      <c r="E59" s="93" t="n">
        <v>151.67</v>
      </c>
      <c r="F59" s="93" t="n">
        <v>0</v>
      </c>
      <c r="G59" s="93" t="n">
        <v>22.75</v>
      </c>
      <c r="H59" s="93" t="n">
        <v>128.92</v>
      </c>
      <c r="I59" s="93" t="n">
        <v>0</v>
      </c>
      <c r="J59" s="11" t="inlineStr"/>
    </row>
    <row r="60">
      <c r="A60" s="11" t="inlineStr">
        <is>
          <t>Debi A Porfidio</t>
        </is>
      </c>
      <c r="B60" s="11" t="inlineStr">
        <is>
          <t>St. Luke's Episcopal-Presbyterian Hospitals</t>
        </is>
      </c>
      <c r="C60" s="11" t="inlineStr">
        <is>
          <t>PQ3987</t>
        </is>
      </c>
      <c r="D60" s="93" t="n">
        <v>547.54</v>
      </c>
      <c r="E60" s="93" t="n">
        <v>478.48</v>
      </c>
      <c r="F60" s="93" t="n">
        <v>0</v>
      </c>
      <c r="G60" s="93" t="n">
        <v>71.77</v>
      </c>
      <c r="H60" s="93" t="n">
        <v>406.71</v>
      </c>
      <c r="I60" s="93" t="n">
        <v>69.06</v>
      </c>
      <c r="J60" s="11" t="inlineStr"/>
    </row>
    <row r="61">
      <c r="A61" s="11" t="inlineStr">
        <is>
          <t>Maria A Porraz Rodriguez</t>
        </is>
      </c>
      <c r="B61" s="11" t="inlineStr">
        <is>
          <t>The University of Kansas Hospital Authority</t>
        </is>
      </c>
      <c r="C61" s="11" t="inlineStr">
        <is>
          <t>RR9171</t>
        </is>
      </c>
      <c r="D61" s="93" t="n">
        <v>200</v>
      </c>
      <c r="E61" s="93" t="n">
        <v>200</v>
      </c>
      <c r="F61" s="93" t="n">
        <v>0</v>
      </c>
      <c r="G61" s="93" t="n">
        <v>30</v>
      </c>
      <c r="H61" s="93" t="n">
        <v>170</v>
      </c>
      <c r="I61" s="93" t="n">
        <v>0</v>
      </c>
      <c r="J61" s="11" t="inlineStr"/>
    </row>
    <row r="62">
      <c r="A62" s="11" t="inlineStr">
        <is>
          <t>Eric J. Pruneda</t>
        </is>
      </c>
      <c r="B62" s="11" t="inlineStr">
        <is>
          <t>The University of Kansas Hospital Authority</t>
        </is>
      </c>
      <c r="C62" s="11" t="inlineStr">
        <is>
          <t>PP1126</t>
        </is>
      </c>
      <c r="D62" s="93" t="n">
        <v>150</v>
      </c>
      <c r="E62" s="93" t="n">
        <v>150</v>
      </c>
      <c r="F62" s="93" t="n">
        <v>0</v>
      </c>
      <c r="G62" s="93" t="n">
        <v>22.5</v>
      </c>
      <c r="H62" s="93" t="n">
        <v>127.5</v>
      </c>
      <c r="I62" s="93" t="n">
        <v>0</v>
      </c>
      <c r="J62" s="11" t="inlineStr"/>
    </row>
    <row r="63">
      <c r="A63" s="11" t="inlineStr">
        <is>
          <t>Brandy A. Radke</t>
        </is>
      </c>
      <c r="B63" s="11" t="inlineStr">
        <is>
          <t>The University of Kansas Hospital Authority</t>
        </is>
      </c>
      <c r="C63" s="11" t="inlineStr">
        <is>
          <t>RS4972</t>
        </is>
      </c>
      <c r="D63" s="93" t="n">
        <v>88.44</v>
      </c>
      <c r="E63" s="93" t="n">
        <v>88.44</v>
      </c>
      <c r="F63" s="93" t="n">
        <v>0</v>
      </c>
      <c r="G63" s="93" t="n">
        <v>13.27</v>
      </c>
      <c r="H63" s="93" t="n">
        <v>75.17</v>
      </c>
      <c r="I63" s="93" t="n">
        <v>0</v>
      </c>
      <c r="J63" s="11" t="inlineStr"/>
    </row>
    <row r="64">
      <c r="A64" s="11" t="inlineStr">
        <is>
          <t>Teresa Ramos-Rangel</t>
        </is>
      </c>
      <c r="B64" s="11" t="inlineStr">
        <is>
          <t>The University of Kansas Hospital Authority</t>
        </is>
      </c>
      <c r="C64" s="11" t="inlineStr">
        <is>
          <t>RR8732</t>
        </is>
      </c>
      <c r="D64" s="93" t="n">
        <v>282.16</v>
      </c>
      <c r="E64" s="93" t="n">
        <v>282.16</v>
      </c>
      <c r="F64" s="93" t="n">
        <v>0</v>
      </c>
      <c r="G64" s="93" t="n">
        <v>42.32</v>
      </c>
      <c r="H64" s="93" t="n">
        <v>239.84</v>
      </c>
      <c r="I64" s="93" t="n">
        <v>0</v>
      </c>
      <c r="J64" s="11" t="inlineStr"/>
    </row>
    <row r="65">
      <c r="A65" s="11" t="inlineStr">
        <is>
          <t>Lynn Resser</t>
        </is>
      </c>
      <c r="B65" s="11" t="inlineStr">
        <is>
          <t>The University of Kansas Hospital Authority</t>
        </is>
      </c>
      <c r="C65" s="11" t="inlineStr">
        <is>
          <t>RS1680</t>
        </is>
      </c>
      <c r="D65" s="93" t="n">
        <v>424.44</v>
      </c>
      <c r="E65" s="93" t="n">
        <v>408.7</v>
      </c>
      <c r="F65" s="93" t="n">
        <v>15.74</v>
      </c>
      <c r="G65" s="93" t="n">
        <v>61.3</v>
      </c>
      <c r="H65" s="93" t="n">
        <v>347.39</v>
      </c>
      <c r="I65" s="93" t="n">
        <v>0</v>
      </c>
      <c r="J65" s="11" t="inlineStr"/>
    </row>
    <row r="66">
      <c r="A66" s="11" t="inlineStr">
        <is>
          <t>Miguel Reyes-Vallejos</t>
        </is>
      </c>
      <c r="B66" s="11" t="inlineStr">
        <is>
          <t>The University of Kansas Hospital Authority</t>
        </is>
      </c>
      <c r="C66" s="11" t="inlineStr">
        <is>
          <t>V48987</t>
        </is>
      </c>
      <c r="D66" s="93" t="n">
        <v>523.28</v>
      </c>
      <c r="E66" s="93" t="n">
        <v>523.28</v>
      </c>
      <c r="F66" s="93" t="n">
        <v>0</v>
      </c>
      <c r="G66" s="93" t="n">
        <v>78.48999999999999</v>
      </c>
      <c r="H66" s="93" t="n">
        <v>444.79</v>
      </c>
      <c r="I66" s="93" t="n">
        <v>0</v>
      </c>
      <c r="J66" s="11" t="inlineStr"/>
    </row>
    <row r="67">
      <c r="A67" s="11" t="inlineStr">
        <is>
          <t>John M. Ritchey</t>
        </is>
      </c>
      <c r="B67" s="11" t="inlineStr">
        <is>
          <t>The University of Kansas Hospital Authority</t>
        </is>
      </c>
      <c r="C67" s="11" t="inlineStr">
        <is>
          <t>RS4693</t>
        </is>
      </c>
      <c r="D67" s="93" t="n">
        <v>200</v>
      </c>
      <c r="E67" s="93" t="n">
        <v>200</v>
      </c>
      <c r="F67" s="93" t="n">
        <v>0</v>
      </c>
      <c r="G67" s="93" t="n">
        <v>30</v>
      </c>
      <c r="H67" s="93" t="n">
        <v>170</v>
      </c>
      <c r="I67" s="93" t="n">
        <v>0</v>
      </c>
      <c r="J67" s="11" t="inlineStr"/>
    </row>
    <row r="68">
      <c r="A68" s="11" t="inlineStr">
        <is>
          <t>Citlali O Rivera</t>
        </is>
      </c>
      <c r="B68" s="11" t="inlineStr">
        <is>
          <t>The University of Kansas Hospital Authority</t>
        </is>
      </c>
      <c r="C68" s="11" t="inlineStr">
        <is>
          <t>RQ4875</t>
        </is>
      </c>
      <c r="D68" s="93" t="n">
        <v>1305.69</v>
      </c>
      <c r="E68" s="93" t="n">
        <v>1305.69</v>
      </c>
      <c r="F68" s="93" t="n">
        <v>0</v>
      </c>
      <c r="G68" s="93" t="n">
        <v>195.85</v>
      </c>
      <c r="H68" s="93" t="n">
        <v>1109.84</v>
      </c>
      <c r="I68" s="93" t="n">
        <v>0</v>
      </c>
      <c r="J68" s="11" t="inlineStr"/>
    </row>
    <row r="69">
      <c r="A69" s="11" t="inlineStr">
        <is>
          <t>Maria C. Rivera</t>
        </is>
      </c>
      <c r="B69" s="11" t="inlineStr">
        <is>
          <t>The University of Kansas Hospital Authority</t>
        </is>
      </c>
      <c r="C69" s="11" t="inlineStr">
        <is>
          <t>RR9586</t>
        </is>
      </c>
      <c r="D69" s="93" t="n">
        <v>100</v>
      </c>
      <c r="E69" s="93" t="n">
        <v>100</v>
      </c>
      <c r="F69" s="93" t="n">
        <v>0</v>
      </c>
      <c r="G69" s="93" t="n">
        <v>15</v>
      </c>
      <c r="H69" s="93" t="n">
        <v>85</v>
      </c>
      <c r="I69" s="93" t="n">
        <v>0</v>
      </c>
      <c r="J69" s="11" t="inlineStr"/>
    </row>
    <row r="70">
      <c r="A70" s="11" t="inlineStr">
        <is>
          <t>Serena E Robbins</t>
        </is>
      </c>
      <c r="B70" s="11" t="inlineStr">
        <is>
          <t>The University of Kansas Hospital Authority</t>
        </is>
      </c>
      <c r="C70" s="11" t="inlineStr">
        <is>
          <t>RR8855</t>
        </is>
      </c>
      <c r="D70" s="93" t="n">
        <v>894.9299999999999</v>
      </c>
      <c r="E70" s="93" t="n">
        <v>894.9299999999999</v>
      </c>
      <c r="F70" s="93" t="n">
        <v>0</v>
      </c>
      <c r="G70" s="93" t="n">
        <v>134.24</v>
      </c>
      <c r="H70" s="93" t="n">
        <v>760.6900000000001</v>
      </c>
      <c r="I70" s="93" t="n">
        <v>0</v>
      </c>
      <c r="J70" s="11" t="inlineStr"/>
    </row>
    <row r="71">
      <c r="A71" s="11" t="inlineStr">
        <is>
          <t>Diaushane M Roberson</t>
        </is>
      </c>
      <c r="B71" s="11" t="inlineStr">
        <is>
          <t>St. Luke's Episcopal-Presbyterian Hospitals</t>
        </is>
      </c>
      <c r="C71" s="11" t="inlineStr">
        <is>
          <t>RQ0668</t>
        </is>
      </c>
      <c r="D71" s="93" t="n">
        <v>328.02</v>
      </c>
      <c r="E71" s="93" t="n">
        <v>282.15</v>
      </c>
      <c r="F71" s="93" t="n">
        <v>0</v>
      </c>
      <c r="G71" s="93" t="n">
        <v>42.32</v>
      </c>
      <c r="H71" s="93" t="n">
        <v>239.83</v>
      </c>
      <c r="I71" s="93" t="n">
        <v>45.87</v>
      </c>
      <c r="J71" s="11" t="inlineStr"/>
    </row>
    <row r="72">
      <c r="A72" s="11" t="inlineStr">
        <is>
          <t>Lisa Roemerman</t>
        </is>
      </c>
      <c r="B72" s="11" t="inlineStr">
        <is>
          <t>St. Luke's Episcopal-Presbyterian Hospitals</t>
        </is>
      </c>
      <c r="C72" s="11" t="inlineStr">
        <is>
          <t>RS6336</t>
        </is>
      </c>
      <c r="D72" s="93" t="n">
        <v>119</v>
      </c>
      <c r="E72" s="93" t="n">
        <v>119</v>
      </c>
      <c r="F72" s="93" t="n">
        <v>0</v>
      </c>
      <c r="G72" s="93" t="n">
        <v>17.85</v>
      </c>
      <c r="H72" s="93" t="n">
        <v>101.15</v>
      </c>
      <c r="I72" s="93" t="n">
        <v>0</v>
      </c>
      <c r="J72" s="11" t="inlineStr"/>
    </row>
    <row r="73">
      <c r="A73" s="11" t="inlineStr">
        <is>
          <t>Massiel Rojas</t>
        </is>
      </c>
      <c r="B73" s="11" t="inlineStr">
        <is>
          <t>The University of Kansas Hospital Authority</t>
        </is>
      </c>
      <c r="C73" s="11" t="inlineStr">
        <is>
          <t>RS3010</t>
        </is>
      </c>
      <c r="D73" s="93" t="n">
        <v>150</v>
      </c>
      <c r="E73" s="93" t="n">
        <v>31</v>
      </c>
      <c r="F73" s="93" t="n">
        <v>119</v>
      </c>
      <c r="G73" s="93" t="n">
        <v>4.65</v>
      </c>
      <c r="H73" s="93" t="n">
        <v>26.35</v>
      </c>
      <c r="I73" s="93" t="n">
        <v>0</v>
      </c>
      <c r="J73" s="11" t="inlineStr"/>
    </row>
    <row r="74">
      <c r="A74" s="11" t="inlineStr">
        <is>
          <t>Jordyn Ropelato</t>
        </is>
      </c>
      <c r="B74" s="11" t="inlineStr">
        <is>
          <t>The University of Kansas Hospital Authority</t>
        </is>
      </c>
      <c r="C74" s="11" t="inlineStr">
        <is>
          <t>RR9664</t>
        </is>
      </c>
      <c r="D74" s="93" t="n">
        <v>233.78</v>
      </c>
      <c r="E74" s="93" t="n">
        <v>233.78</v>
      </c>
      <c r="F74" s="93" t="n">
        <v>0</v>
      </c>
      <c r="G74" s="93" t="n">
        <v>35.07</v>
      </c>
      <c r="H74" s="93" t="n">
        <v>198.71</v>
      </c>
      <c r="I74" s="93" t="n">
        <v>0</v>
      </c>
      <c r="J74" s="11" t="inlineStr"/>
    </row>
    <row r="75">
      <c r="A75" s="11" t="inlineStr">
        <is>
          <t>Mercy C. Rotich</t>
        </is>
      </c>
      <c r="B75" s="11" t="inlineStr">
        <is>
          <t>The University of Kansas Hospital Authority</t>
        </is>
      </c>
      <c r="C75" s="11" t="inlineStr">
        <is>
          <t>RP1143</t>
        </is>
      </c>
      <c r="D75" s="93" t="n">
        <v>200</v>
      </c>
      <c r="E75" s="93" t="n">
        <v>200</v>
      </c>
      <c r="F75" s="93" t="n">
        <v>0</v>
      </c>
      <c r="G75" s="93" t="n">
        <v>30</v>
      </c>
      <c r="H75" s="93" t="n">
        <v>170</v>
      </c>
      <c r="I75" s="93" t="n">
        <v>0</v>
      </c>
      <c r="J75" s="11" t="inlineStr"/>
    </row>
    <row r="76">
      <c r="A76" s="11" t="inlineStr">
        <is>
          <t>Carli Rudder</t>
        </is>
      </c>
      <c r="B76" s="11" t="inlineStr">
        <is>
          <t>The University of Kansas Hospital Authority</t>
        </is>
      </c>
      <c r="C76" s="11" t="inlineStr">
        <is>
          <t>RR3853</t>
        </is>
      </c>
      <c r="D76" s="93" t="n">
        <v>624.41</v>
      </c>
      <c r="E76" s="93" t="n">
        <v>624.41</v>
      </c>
      <c r="F76" s="93" t="n">
        <v>0</v>
      </c>
      <c r="G76" s="93" t="n">
        <v>93.66</v>
      </c>
      <c r="H76" s="93" t="n">
        <v>530.75</v>
      </c>
      <c r="I76" s="93" t="n">
        <v>0</v>
      </c>
      <c r="J76" s="11" t="inlineStr"/>
    </row>
    <row r="77">
      <c r="A77" s="11" t="inlineStr">
        <is>
          <t>Amanda E Sanders</t>
        </is>
      </c>
      <c r="B77" s="11" t="inlineStr">
        <is>
          <t>St. Luke's Episcopal-Presbyterian Hospitals</t>
        </is>
      </c>
      <c r="C77" s="11" t="inlineStr">
        <is>
          <t>SFD726</t>
        </is>
      </c>
      <c r="D77" s="93" t="n">
        <v>99.01000000000001</v>
      </c>
      <c r="E77" s="93" t="n">
        <v>24.83</v>
      </c>
      <c r="F77" s="93" t="n">
        <v>0</v>
      </c>
      <c r="G77" s="93" t="n">
        <v>3.72</v>
      </c>
      <c r="H77" s="93" t="n">
        <v>21.11</v>
      </c>
      <c r="I77" s="93" t="n">
        <v>74.18000000000001</v>
      </c>
      <c r="J77" s="11" t="inlineStr"/>
    </row>
    <row r="78">
      <c r="A78" s="11" t="inlineStr">
        <is>
          <t>Angela Sanders</t>
        </is>
      </c>
      <c r="B78" s="11" t="inlineStr">
        <is>
          <t>The University of Kansas Hospital Authority</t>
        </is>
      </c>
      <c r="C78" s="11" t="inlineStr">
        <is>
          <t>SEY038</t>
        </is>
      </c>
      <c r="D78" s="93" t="n">
        <v>2.05</v>
      </c>
      <c r="E78" s="93" t="n">
        <v>0</v>
      </c>
      <c r="F78" s="93" t="n">
        <v>2.05</v>
      </c>
      <c r="G78" s="93" t="n">
        <v>0</v>
      </c>
      <c r="H78" s="93" t="n">
        <v>0</v>
      </c>
      <c r="I78" s="93" t="n">
        <v>0</v>
      </c>
      <c r="J78" s="11" t="inlineStr"/>
    </row>
    <row r="79">
      <c r="A79" s="11" t="inlineStr">
        <is>
          <t>Jessica Santamaria</t>
        </is>
      </c>
      <c r="B79" s="11" t="inlineStr">
        <is>
          <t>The University of Kansas Hospital Authority</t>
        </is>
      </c>
      <c r="C79" s="11" t="inlineStr">
        <is>
          <t>SFO699</t>
        </is>
      </c>
      <c r="D79" s="93" t="n">
        <v>418.52</v>
      </c>
      <c r="E79" s="93" t="n">
        <v>418.52</v>
      </c>
      <c r="F79" s="93" t="n">
        <v>0</v>
      </c>
      <c r="G79" s="93" t="n">
        <v>62.78</v>
      </c>
      <c r="H79" s="93" t="n">
        <v>355.74</v>
      </c>
      <c r="I79" s="93" t="n">
        <v>0</v>
      </c>
      <c r="J79" s="11" t="inlineStr"/>
    </row>
    <row r="80">
      <c r="A80" s="11" t="inlineStr">
        <is>
          <t>Christopher A. Santana</t>
        </is>
      </c>
      <c r="B80" s="11" t="inlineStr">
        <is>
          <t>The University of Kansas Hospital Authority</t>
        </is>
      </c>
      <c r="C80" s="11" t="inlineStr">
        <is>
          <t>SFM575</t>
        </is>
      </c>
      <c r="D80" s="93" t="n">
        <v>276.1</v>
      </c>
      <c r="E80" s="93" t="n">
        <v>90.2</v>
      </c>
      <c r="F80" s="93" t="n">
        <v>0</v>
      </c>
      <c r="G80" s="93" t="n">
        <v>13.53</v>
      </c>
      <c r="H80" s="93" t="n">
        <v>76.67</v>
      </c>
      <c r="I80" s="93" t="n">
        <v>185.9</v>
      </c>
      <c r="J80" s="11" t="inlineStr"/>
    </row>
    <row r="81">
      <c r="A81" s="11" t="inlineStr">
        <is>
          <t>Robert L. Sapp</t>
        </is>
      </c>
      <c r="B81" s="11" t="inlineStr">
        <is>
          <t>The University of Kansas Hospital Authority</t>
        </is>
      </c>
      <c r="C81" s="11" t="inlineStr">
        <is>
          <t>SDH378</t>
        </is>
      </c>
      <c r="D81" s="93" t="n">
        <v>125</v>
      </c>
      <c r="E81" s="93" t="n">
        <v>125</v>
      </c>
      <c r="F81" s="93" t="n">
        <v>0</v>
      </c>
      <c r="G81" s="93" t="n">
        <v>18.75</v>
      </c>
      <c r="H81" s="93" t="n">
        <v>106.25</v>
      </c>
      <c r="I81" s="93" t="n">
        <v>0</v>
      </c>
      <c r="J81" s="11" t="inlineStr"/>
    </row>
    <row r="82">
      <c r="A82" s="11" t="inlineStr">
        <is>
          <t>Molissa K. Savage</t>
        </is>
      </c>
      <c r="B82" s="11" t="inlineStr">
        <is>
          <t>The University of Kansas Hospital Authority</t>
        </is>
      </c>
      <c r="C82" s="11" t="inlineStr">
        <is>
          <t>SEO252</t>
        </is>
      </c>
      <c r="D82" s="93" t="n">
        <v>310.03</v>
      </c>
      <c r="E82" s="93" t="n">
        <v>310.03</v>
      </c>
      <c r="F82" s="93" t="n">
        <v>0</v>
      </c>
      <c r="G82" s="93" t="n">
        <v>46.5</v>
      </c>
      <c r="H82" s="93" t="n">
        <v>263.53</v>
      </c>
      <c r="I82" s="93" t="n">
        <v>0</v>
      </c>
      <c r="J82" s="11" t="inlineStr"/>
    </row>
    <row r="83">
      <c r="A83" s="11" t="inlineStr">
        <is>
          <t>Stephen Schroeter</t>
        </is>
      </c>
      <c r="B83" s="11" t="inlineStr">
        <is>
          <t>The University of Kansas Hospital Authority</t>
        </is>
      </c>
      <c r="C83" s="11" t="inlineStr">
        <is>
          <t>SFE050</t>
        </is>
      </c>
      <c r="D83" s="93" t="n">
        <v>94.14</v>
      </c>
      <c r="E83" s="93" t="n">
        <v>94.14</v>
      </c>
      <c r="F83" s="93" t="n">
        <v>0</v>
      </c>
      <c r="G83" s="93" t="n">
        <v>14.12</v>
      </c>
      <c r="H83" s="93" t="n">
        <v>80.02</v>
      </c>
      <c r="I83" s="93" t="n">
        <v>0</v>
      </c>
      <c r="J83" s="11" t="inlineStr"/>
    </row>
    <row r="84">
      <c r="A84" s="11" t="inlineStr">
        <is>
          <t>Alexus A Scott</t>
        </is>
      </c>
      <c r="B84" s="11" t="inlineStr">
        <is>
          <t>The University of Kansas Hospital Authority</t>
        </is>
      </c>
      <c r="C84" s="11" t="inlineStr">
        <is>
          <t>SEX680</t>
        </is>
      </c>
      <c r="D84" s="93" t="n">
        <v>347.11</v>
      </c>
      <c r="E84" s="93" t="n">
        <v>347.11</v>
      </c>
      <c r="F84" s="93" t="n">
        <v>0</v>
      </c>
      <c r="G84" s="93" t="n">
        <v>52.07</v>
      </c>
      <c r="H84" s="93" t="n">
        <v>295.04</v>
      </c>
      <c r="I84" s="93" t="n">
        <v>0</v>
      </c>
      <c r="J84" s="11" t="inlineStr"/>
    </row>
    <row r="85">
      <c r="A85" s="11" t="inlineStr">
        <is>
          <t>Erica Seals</t>
        </is>
      </c>
      <c r="B85" s="11" t="inlineStr">
        <is>
          <t>St. Luke's Hospital</t>
        </is>
      </c>
      <c r="C85" s="11" t="inlineStr">
        <is>
          <t>SBR031</t>
        </is>
      </c>
      <c r="D85" s="93" t="n">
        <v>372.76</v>
      </c>
      <c r="E85" s="93" t="n">
        <v>372.76</v>
      </c>
      <c r="F85" s="93" t="n">
        <v>0</v>
      </c>
      <c r="G85" s="93" t="n">
        <v>55.91</v>
      </c>
      <c r="H85" s="93" t="n">
        <v>316.85</v>
      </c>
      <c r="I85" s="93" t="n">
        <v>0</v>
      </c>
      <c r="J85" s="11" t="inlineStr"/>
    </row>
    <row r="86">
      <c r="A86" s="11" t="inlineStr">
        <is>
          <t>Lisa D. Searcy</t>
        </is>
      </c>
      <c r="B86" s="11" t="inlineStr">
        <is>
          <t>The University of Kansas Hospital Authority</t>
        </is>
      </c>
      <c r="C86" s="11" t="inlineStr">
        <is>
          <t>SFB171</t>
        </is>
      </c>
      <c r="D86" s="93" t="n">
        <v>212.47</v>
      </c>
      <c r="E86" s="93" t="n">
        <v>212.47</v>
      </c>
      <c r="F86" s="93" t="n">
        <v>0</v>
      </c>
      <c r="G86" s="93" t="n">
        <v>31.87</v>
      </c>
      <c r="H86" s="93" t="n">
        <v>180.6</v>
      </c>
      <c r="I86" s="93" t="n">
        <v>0</v>
      </c>
      <c r="J86" s="11" t="inlineStr"/>
    </row>
    <row r="87">
      <c r="A87" s="11" t="inlineStr">
        <is>
          <t>Samantha G. Sheldon</t>
        </is>
      </c>
      <c r="B87" s="11" t="inlineStr">
        <is>
          <t>St. Luke's Episcopal-Presbyterian Hospitals</t>
        </is>
      </c>
      <c r="C87" s="11" t="inlineStr">
        <is>
          <t>SGJ149</t>
        </is>
      </c>
      <c r="D87" s="93" t="n">
        <v>200</v>
      </c>
      <c r="E87" s="93" t="n">
        <v>200</v>
      </c>
      <c r="F87" s="93" t="n">
        <v>0</v>
      </c>
      <c r="G87" s="93" t="n">
        <v>30</v>
      </c>
      <c r="H87" s="93" t="n">
        <v>170</v>
      </c>
      <c r="I87" s="93" t="n">
        <v>0</v>
      </c>
      <c r="J87" s="11" t="inlineStr"/>
    </row>
    <row r="88">
      <c r="A88" s="11" t="inlineStr">
        <is>
          <t>Olijoel Sheppard</t>
        </is>
      </c>
      <c r="B88" s="11" t="inlineStr">
        <is>
          <t>The University of Kansas Hospital Authority</t>
        </is>
      </c>
      <c r="C88" s="11" t="inlineStr">
        <is>
          <t>SF0655</t>
        </is>
      </c>
      <c r="D88" s="93" t="n">
        <v>99.48</v>
      </c>
      <c r="E88" s="93" t="n">
        <v>99.48</v>
      </c>
      <c r="F88" s="93" t="n">
        <v>0</v>
      </c>
      <c r="G88" s="93" t="n">
        <v>14.92</v>
      </c>
      <c r="H88" s="93" t="n">
        <v>84.56</v>
      </c>
      <c r="I88" s="93" t="n">
        <v>0</v>
      </c>
      <c r="J88" s="11" t="inlineStr"/>
    </row>
    <row r="89">
      <c r="A89" s="11" t="inlineStr">
        <is>
          <t>Julia R. Shrader</t>
        </is>
      </c>
      <c r="B89" s="11" t="inlineStr">
        <is>
          <t>The University of Kansas Hospital Authority</t>
        </is>
      </c>
      <c r="C89" s="11" t="inlineStr">
        <is>
          <t>SFV238</t>
        </is>
      </c>
      <c r="D89" s="93" t="n">
        <v>702.48</v>
      </c>
      <c r="E89" s="93" t="n">
        <v>513.6</v>
      </c>
      <c r="F89" s="93" t="n">
        <v>121</v>
      </c>
      <c r="G89" s="93" t="n">
        <v>77.04000000000001</v>
      </c>
      <c r="H89" s="93" t="n">
        <v>436.56</v>
      </c>
      <c r="I89" s="93" t="n">
        <v>67.88</v>
      </c>
      <c r="J89" s="11" t="inlineStr"/>
    </row>
    <row r="90">
      <c r="A90" s="11" t="inlineStr">
        <is>
          <t>Tiffany Singer</t>
        </is>
      </c>
      <c r="B90" s="11" t="inlineStr">
        <is>
          <t>University of Kansas Hospital Authority</t>
        </is>
      </c>
      <c r="C90" s="11" t="inlineStr">
        <is>
          <t>SBE176</t>
        </is>
      </c>
      <c r="D90" s="93" t="n">
        <v>200</v>
      </c>
      <c r="E90" s="93" t="n">
        <v>200</v>
      </c>
      <c r="F90" s="93" t="n">
        <v>0</v>
      </c>
      <c r="G90" s="93" t="n">
        <v>30</v>
      </c>
      <c r="H90" s="93" t="n">
        <v>170</v>
      </c>
      <c r="I90" s="93" t="n">
        <v>0</v>
      </c>
      <c r="J90" s="11" t="inlineStr"/>
    </row>
    <row r="91">
      <c r="A91" s="11" t="inlineStr">
        <is>
          <t>Constance B. Slavens</t>
        </is>
      </c>
      <c r="B91" s="11" t="inlineStr">
        <is>
          <t>The University of Kansas Hospital Authority</t>
        </is>
      </c>
      <c r="C91" s="11" t="inlineStr">
        <is>
          <t>SEZ513</t>
        </is>
      </c>
      <c r="D91" s="93" t="n">
        <v>392</v>
      </c>
      <c r="E91" s="93" t="n">
        <v>392</v>
      </c>
      <c r="F91" s="93" t="n">
        <v>0</v>
      </c>
      <c r="G91" s="93" t="n">
        <v>58.8</v>
      </c>
      <c r="H91" s="93" t="n">
        <v>333.2</v>
      </c>
      <c r="I91" s="93" t="n">
        <v>0</v>
      </c>
      <c r="J91" s="11" t="inlineStr"/>
    </row>
    <row r="92">
      <c r="A92" s="11" t="inlineStr">
        <is>
          <t>Brandi L. Smith</t>
        </is>
      </c>
      <c r="B92" s="11" t="inlineStr">
        <is>
          <t>The University of Kansas Hospital Authority</t>
        </is>
      </c>
      <c r="C92" s="11" t="inlineStr">
        <is>
          <t>SFH847</t>
        </is>
      </c>
      <c r="D92" s="93" t="n">
        <v>175</v>
      </c>
      <c r="E92" s="93" t="n">
        <v>175</v>
      </c>
      <c r="F92" s="93" t="n">
        <v>0</v>
      </c>
      <c r="G92" s="93" t="n">
        <v>26.25</v>
      </c>
      <c r="H92" s="93" t="n">
        <v>148.75</v>
      </c>
      <c r="I92" s="93" t="n">
        <v>0</v>
      </c>
      <c r="J92" s="11" t="inlineStr"/>
    </row>
    <row r="93">
      <c r="A93" s="11" t="inlineStr">
        <is>
          <t>Clifton Smith</t>
        </is>
      </c>
      <c r="B93" s="11" t="inlineStr">
        <is>
          <t>The University of Kansas Hospital Authority</t>
        </is>
      </c>
      <c r="C93" s="11" t="inlineStr">
        <is>
          <t>SDS046</t>
        </is>
      </c>
      <c r="D93" s="93" t="n">
        <v>186.31</v>
      </c>
      <c r="E93" s="93" t="n">
        <v>186.31</v>
      </c>
      <c r="F93" s="93" t="n">
        <v>0</v>
      </c>
      <c r="G93" s="93" t="n">
        <v>27.95</v>
      </c>
      <c r="H93" s="93" t="n">
        <v>158.36</v>
      </c>
      <c r="I93" s="93" t="n">
        <v>0</v>
      </c>
      <c r="J93" s="11" t="inlineStr"/>
    </row>
    <row r="94">
      <c r="A94" s="11" t="inlineStr">
        <is>
          <t>Nicole Y. Smith</t>
        </is>
      </c>
      <c r="B94" s="11" t="inlineStr">
        <is>
          <t>The University of Kansas Hospital Authority</t>
        </is>
      </c>
      <c r="C94" s="11" t="inlineStr">
        <is>
          <t>SEY639</t>
        </is>
      </c>
      <c r="D94" s="93" t="n">
        <v>151.14</v>
      </c>
      <c r="E94" s="93" t="n">
        <v>151.14</v>
      </c>
      <c r="F94" s="93" t="n">
        <v>0</v>
      </c>
      <c r="G94" s="93" t="n">
        <v>22.67</v>
      </c>
      <c r="H94" s="93" t="n">
        <v>128.47</v>
      </c>
      <c r="I94" s="93" t="n">
        <v>0</v>
      </c>
      <c r="J94" s="11" t="inlineStr"/>
    </row>
    <row r="95">
      <c r="A95" s="11" t="inlineStr">
        <is>
          <t>Scott P. Snavely</t>
        </is>
      </c>
      <c r="B95" s="11" t="inlineStr">
        <is>
          <t>The University of Kansas Hospital Authority</t>
        </is>
      </c>
      <c r="C95" s="11" t="inlineStr">
        <is>
          <t>SDH708</t>
        </is>
      </c>
      <c r="D95" s="93" t="n">
        <v>305.73</v>
      </c>
      <c r="E95" s="93" t="n">
        <v>305.73</v>
      </c>
      <c r="F95" s="93" t="n">
        <v>0</v>
      </c>
      <c r="G95" s="93" t="n">
        <v>45.86</v>
      </c>
      <c r="H95" s="93" t="n">
        <v>259.87</v>
      </c>
      <c r="I95" s="93" t="n">
        <v>0</v>
      </c>
      <c r="J95" s="11" t="inlineStr"/>
    </row>
    <row r="96">
      <c r="A96" s="11" t="inlineStr">
        <is>
          <t>Patrick Snyder</t>
        </is>
      </c>
      <c r="B96" s="11" t="inlineStr">
        <is>
          <t>The University of Kansas Hospital Authority</t>
        </is>
      </c>
      <c r="C96" s="11" t="inlineStr">
        <is>
          <t>SFD873</t>
        </is>
      </c>
      <c r="D96" s="93" t="n">
        <v>200</v>
      </c>
      <c r="E96" s="93" t="n">
        <v>200</v>
      </c>
      <c r="F96" s="93" t="n">
        <v>0</v>
      </c>
      <c r="G96" s="93" t="n">
        <v>30</v>
      </c>
      <c r="H96" s="93" t="n">
        <v>170</v>
      </c>
      <c r="I96" s="93" t="n">
        <v>0</v>
      </c>
      <c r="J96" s="11" t="inlineStr"/>
    </row>
    <row r="97">
      <c r="A97" s="11" t="inlineStr">
        <is>
          <t>Jamea S Stanwood</t>
        </is>
      </c>
      <c r="B97" s="11" t="inlineStr">
        <is>
          <t>The University of Kansas Hospital Authority</t>
        </is>
      </c>
      <c r="C97" s="11" t="inlineStr">
        <is>
          <t>SFG589</t>
        </is>
      </c>
      <c r="D97" s="93" t="n">
        <v>600</v>
      </c>
      <c r="E97" s="93" t="n">
        <v>600</v>
      </c>
      <c r="F97" s="93" t="n">
        <v>0</v>
      </c>
      <c r="G97" s="93" t="n">
        <v>90</v>
      </c>
      <c r="H97" s="93" t="n">
        <v>510</v>
      </c>
      <c r="I97" s="93" t="n">
        <v>0</v>
      </c>
      <c r="J97" s="11" t="inlineStr"/>
    </row>
    <row r="98">
      <c r="A98" s="11" t="inlineStr">
        <is>
          <t>Stephanie Steeby</t>
        </is>
      </c>
      <c r="B98" s="11" t="inlineStr">
        <is>
          <t>The University of Kansas Hospital Authority</t>
        </is>
      </c>
      <c r="C98" s="11" t="inlineStr">
        <is>
          <t>SEL057</t>
        </is>
      </c>
      <c r="D98" s="93" t="n">
        <v>260.11</v>
      </c>
      <c r="E98" s="93" t="n">
        <v>260.11</v>
      </c>
      <c r="F98" s="93" t="n">
        <v>0</v>
      </c>
      <c r="G98" s="93" t="n">
        <v>39.02</v>
      </c>
      <c r="H98" s="93" t="n">
        <v>221.09</v>
      </c>
      <c r="I98" s="93" t="n">
        <v>0</v>
      </c>
      <c r="J98" s="11" t="inlineStr"/>
    </row>
    <row r="99">
      <c r="A99" s="11" t="inlineStr">
        <is>
          <t>Lisa S. Steinhauser</t>
        </is>
      </c>
      <c r="B99" s="11" t="inlineStr">
        <is>
          <t>The University of Kansas Hospital Authority</t>
        </is>
      </c>
      <c r="C99" s="11" t="inlineStr">
        <is>
          <t>SFV213</t>
        </is>
      </c>
      <c r="D99" s="93" t="n">
        <v>100</v>
      </c>
      <c r="E99" s="93" t="n">
        <v>100</v>
      </c>
      <c r="F99" s="93" t="n">
        <v>0</v>
      </c>
      <c r="G99" s="93" t="n">
        <v>15</v>
      </c>
      <c r="H99" s="93" t="n">
        <v>85</v>
      </c>
      <c r="I99" s="93" t="n">
        <v>0</v>
      </c>
      <c r="J99" s="11" t="inlineStr"/>
    </row>
    <row r="100">
      <c r="A100" s="11" t="inlineStr">
        <is>
          <t>Marissa K. Stephens</t>
        </is>
      </c>
      <c r="B100" s="11" t="inlineStr">
        <is>
          <t>The University of Kansas Hospital Authority</t>
        </is>
      </c>
      <c r="C100" s="11" t="inlineStr">
        <is>
          <t>SFF225</t>
        </is>
      </c>
      <c r="D100" s="93" t="n">
        <v>24.22</v>
      </c>
      <c r="E100" s="93" t="n">
        <v>0</v>
      </c>
      <c r="F100" s="93" t="n">
        <v>24.22</v>
      </c>
      <c r="G100" s="93" t="n">
        <v>0</v>
      </c>
      <c r="H100" s="93" t="n">
        <v>0</v>
      </c>
      <c r="I100" s="93" t="n">
        <v>0</v>
      </c>
      <c r="J100" s="11" t="inlineStr"/>
    </row>
    <row r="101">
      <c r="A101" s="11" t="inlineStr">
        <is>
          <t>Sherea Y. Tatum</t>
        </is>
      </c>
      <c r="B101" s="11" t="inlineStr">
        <is>
          <t>The University of Kansas Hospital Authority</t>
        </is>
      </c>
      <c r="C101" s="11" t="inlineStr">
        <is>
          <t>TJ9400</t>
        </is>
      </c>
      <c r="D101" s="93" t="n">
        <v>510.64</v>
      </c>
      <c r="E101" s="93" t="n">
        <v>510.64</v>
      </c>
      <c r="F101" s="93" t="n">
        <v>0</v>
      </c>
      <c r="G101" s="93" t="n">
        <v>76.59999999999999</v>
      </c>
      <c r="H101" s="93" t="n">
        <v>434.04</v>
      </c>
      <c r="I101" s="93" t="n">
        <v>0</v>
      </c>
      <c r="J101" s="11" t="inlineStr"/>
    </row>
    <row r="102">
      <c r="A102" s="11" t="inlineStr">
        <is>
          <t>Tiffany Taylor</t>
        </is>
      </c>
      <c r="B102" s="11" t="inlineStr">
        <is>
          <t>The University of Kansas Hospital Authority</t>
        </is>
      </c>
      <c r="C102" s="11" t="inlineStr">
        <is>
          <t>TJ7602</t>
        </is>
      </c>
      <c r="D102" s="93" t="n">
        <v>150</v>
      </c>
      <c r="E102" s="93" t="n">
        <v>150</v>
      </c>
      <c r="F102" s="93" t="n">
        <v>0</v>
      </c>
      <c r="G102" s="93" t="n">
        <v>22.5</v>
      </c>
      <c r="H102" s="93" t="n">
        <v>127.5</v>
      </c>
      <c r="I102" s="93" t="n">
        <v>0</v>
      </c>
      <c r="J102" s="11" t="inlineStr"/>
    </row>
    <row r="103">
      <c r="A103" s="11" t="inlineStr">
        <is>
          <t>Claudette L. Terry-Williams</t>
        </is>
      </c>
      <c r="B103" s="11" t="inlineStr">
        <is>
          <t>The University of Kansas Hospital Authority</t>
        </is>
      </c>
      <c r="C103" s="11" t="inlineStr">
        <is>
          <t>WN3336</t>
        </is>
      </c>
      <c r="D103" s="93" t="n">
        <v>126.18</v>
      </c>
      <c r="E103" s="93" t="n">
        <v>114.06</v>
      </c>
      <c r="F103" s="93" t="n">
        <v>0</v>
      </c>
      <c r="G103" s="93" t="n">
        <v>17.11</v>
      </c>
      <c r="H103" s="93" t="n">
        <v>96.95</v>
      </c>
      <c r="I103" s="93" t="n">
        <v>12.12</v>
      </c>
      <c r="J103" s="11" t="inlineStr"/>
    </row>
    <row r="104">
      <c r="A104" s="11" t="inlineStr">
        <is>
          <t>Salina J. Teter</t>
        </is>
      </c>
      <c r="B104" s="11" t="inlineStr">
        <is>
          <t>The University of Kansas Hospital Authority</t>
        </is>
      </c>
      <c r="C104" s="11" t="inlineStr">
        <is>
          <t>TK0297</t>
        </is>
      </c>
      <c r="D104" s="93" t="n">
        <v>200</v>
      </c>
      <c r="E104" s="93" t="n">
        <v>200</v>
      </c>
      <c r="F104" s="93" t="n">
        <v>0</v>
      </c>
      <c r="G104" s="93" t="n">
        <v>30</v>
      </c>
      <c r="H104" s="93" t="n">
        <v>170</v>
      </c>
      <c r="I104" s="93" t="n">
        <v>0</v>
      </c>
      <c r="J104" s="11" t="inlineStr"/>
    </row>
    <row r="105">
      <c r="A105" s="11" t="inlineStr">
        <is>
          <t>Robert Theus</t>
        </is>
      </c>
      <c r="B105" s="11" t="inlineStr">
        <is>
          <t>The University of Kansas Hospital Authority</t>
        </is>
      </c>
      <c r="C105" s="11" t="inlineStr">
        <is>
          <t>TJ1203</t>
        </is>
      </c>
      <c r="D105" s="93" t="n">
        <v>75</v>
      </c>
      <c r="E105" s="93" t="n">
        <v>75</v>
      </c>
      <c r="F105" s="93" t="n">
        <v>0</v>
      </c>
      <c r="G105" s="93" t="n">
        <v>11.25</v>
      </c>
      <c r="H105" s="93" t="n">
        <v>63.75</v>
      </c>
      <c r="I105" s="93" t="n">
        <v>0</v>
      </c>
      <c r="J105" s="11" t="inlineStr"/>
    </row>
    <row r="106">
      <c r="A106" s="11" t="inlineStr">
        <is>
          <t>Charles F. Thomas</t>
        </is>
      </c>
      <c r="B106" s="11" t="inlineStr">
        <is>
          <t>The University of Kansas Hospital Authority</t>
        </is>
      </c>
      <c r="C106" s="11" t="inlineStr">
        <is>
          <t>TI5978</t>
        </is>
      </c>
      <c r="D106" s="93" t="n">
        <v>435</v>
      </c>
      <c r="E106" s="93" t="n">
        <v>435</v>
      </c>
      <c r="F106" s="93" t="n">
        <v>0</v>
      </c>
      <c r="G106" s="93" t="n">
        <v>65.25</v>
      </c>
      <c r="H106" s="93" t="n">
        <v>369.75</v>
      </c>
      <c r="I106" s="93" t="n">
        <v>0</v>
      </c>
      <c r="J106" s="11" t="inlineStr"/>
    </row>
    <row r="107">
      <c r="A107" s="11" t="inlineStr">
        <is>
          <t>Courtney A. Thompson</t>
        </is>
      </c>
      <c r="B107" s="11" t="inlineStr">
        <is>
          <t>The University of Kansas Hospital Authority</t>
        </is>
      </c>
      <c r="C107" s="11" t="inlineStr">
        <is>
          <t>TJ6891</t>
        </is>
      </c>
      <c r="D107" s="93" t="n">
        <v>8686.209999999999</v>
      </c>
      <c r="E107" s="93" t="n">
        <v>8242.639999999999</v>
      </c>
      <c r="F107" s="93" t="n">
        <v>157</v>
      </c>
      <c r="G107" s="93" t="n">
        <v>1236.4</v>
      </c>
      <c r="H107" s="93" t="n">
        <v>7006.24</v>
      </c>
      <c r="I107" s="93" t="n">
        <v>286.57</v>
      </c>
      <c r="J107" s="11" t="inlineStr"/>
    </row>
    <row r="108">
      <c r="A108" s="11" t="inlineStr">
        <is>
          <t>Erin S. Thompson</t>
        </is>
      </c>
      <c r="B108" s="11" t="inlineStr">
        <is>
          <t>The University of Kansas Hospital Authority</t>
        </is>
      </c>
      <c r="C108" s="11" t="inlineStr">
        <is>
          <t>TI6963</t>
        </is>
      </c>
      <c r="D108" s="93" t="n">
        <v>602.46</v>
      </c>
      <c r="E108" s="93" t="n">
        <v>579.55</v>
      </c>
      <c r="F108" s="93" t="n">
        <v>0</v>
      </c>
      <c r="G108" s="93" t="n">
        <v>86.93000000000001</v>
      </c>
      <c r="H108" s="93" t="n">
        <v>492.62</v>
      </c>
      <c r="I108" s="93" t="n">
        <v>22.91</v>
      </c>
      <c r="J108" s="11" t="inlineStr"/>
    </row>
    <row r="109">
      <c r="A109" s="11" t="inlineStr">
        <is>
          <t>Tiffany A. Thompson</t>
        </is>
      </c>
      <c r="B109" s="11" t="inlineStr">
        <is>
          <t>The University of Kansas Hospital Authority</t>
        </is>
      </c>
      <c r="C109" s="11" t="inlineStr">
        <is>
          <t>TI8916</t>
        </is>
      </c>
      <c r="D109" s="93" t="n">
        <v>50</v>
      </c>
      <c r="E109" s="93" t="n">
        <v>50</v>
      </c>
      <c r="F109" s="93" t="n">
        <v>0</v>
      </c>
      <c r="G109" s="93" t="n">
        <v>7.5</v>
      </c>
      <c r="H109" s="93" t="n">
        <v>42.5</v>
      </c>
      <c r="I109" s="93" t="n">
        <v>0</v>
      </c>
      <c r="J109" s="11" t="inlineStr"/>
    </row>
    <row r="110">
      <c r="A110" s="11" t="inlineStr">
        <is>
          <t>Knikkia E. Townsend</t>
        </is>
      </c>
      <c r="B110" s="11" t="inlineStr">
        <is>
          <t>The University of Kansas Hospital Authority</t>
        </is>
      </c>
      <c r="C110" s="11" t="inlineStr">
        <is>
          <t>TI2615</t>
        </is>
      </c>
      <c r="D110" s="93" t="n">
        <v>140</v>
      </c>
      <c r="E110" s="93" t="n">
        <v>140</v>
      </c>
      <c r="F110" s="93" t="n">
        <v>0</v>
      </c>
      <c r="G110" s="93" t="n">
        <v>21</v>
      </c>
      <c r="H110" s="93" t="n">
        <v>119</v>
      </c>
      <c r="I110" s="93" t="n">
        <v>0</v>
      </c>
      <c r="J110" s="11" t="inlineStr"/>
    </row>
    <row r="111">
      <c r="A111" s="11" t="inlineStr">
        <is>
          <t>Colleen D. Triplett</t>
        </is>
      </c>
      <c r="B111" s="11" t="inlineStr">
        <is>
          <t>The University of Kansas Hospital Authority</t>
        </is>
      </c>
      <c r="C111" s="11" t="inlineStr">
        <is>
          <t>TJ4489</t>
        </is>
      </c>
      <c r="D111" s="93" t="n">
        <v>20.03</v>
      </c>
      <c r="E111" s="93" t="n">
        <v>20.03</v>
      </c>
      <c r="F111" s="93" t="n">
        <v>0</v>
      </c>
      <c r="G111" s="93" t="n">
        <v>3</v>
      </c>
      <c r="H111" s="93" t="n">
        <v>17.03</v>
      </c>
      <c r="I111" s="93" t="n">
        <v>0</v>
      </c>
      <c r="J111" s="11" t="inlineStr"/>
    </row>
    <row r="112">
      <c r="A112" s="11" t="inlineStr">
        <is>
          <t>Deedra J. Turney</t>
        </is>
      </c>
      <c r="B112" s="11" t="inlineStr">
        <is>
          <t>The University of Kansas Hospital Authority</t>
        </is>
      </c>
      <c r="C112" s="11" t="inlineStr">
        <is>
          <t>TK0534</t>
        </is>
      </c>
      <c r="D112" s="93" t="n">
        <v>227.17</v>
      </c>
      <c r="E112" s="93" t="n">
        <v>214.42</v>
      </c>
      <c r="F112" s="93" t="n">
        <v>12.75</v>
      </c>
      <c r="G112" s="93" t="n">
        <v>32.16</v>
      </c>
      <c r="H112" s="93" t="n">
        <v>182.26</v>
      </c>
      <c r="I112" s="93" t="n">
        <v>0</v>
      </c>
      <c r="J112" s="11" t="inlineStr"/>
    </row>
    <row r="113">
      <c r="A113" s="11" t="inlineStr">
        <is>
          <t>Aprille Ullerick</t>
        </is>
      </c>
      <c r="B113" s="11" t="inlineStr">
        <is>
          <t>The University of Kansas Hospital Authority</t>
        </is>
      </c>
      <c r="C113" s="11" t="inlineStr">
        <is>
          <t>U11025</t>
        </is>
      </c>
      <c r="D113" s="93" t="n">
        <v>280.42</v>
      </c>
      <c r="E113" s="93" t="n">
        <v>280.42</v>
      </c>
      <c r="F113" s="93" t="n">
        <v>0</v>
      </c>
      <c r="G113" s="93" t="n">
        <v>42.06</v>
      </c>
      <c r="H113" s="93" t="n">
        <v>238.36</v>
      </c>
      <c r="I113" s="93" t="n">
        <v>0</v>
      </c>
      <c r="J113" s="11" t="inlineStr"/>
    </row>
    <row r="114">
      <c r="A114" s="11" t="inlineStr">
        <is>
          <t>Bernardette F. Vallejos</t>
        </is>
      </c>
      <c r="B114" s="11" t="inlineStr">
        <is>
          <t>The University of Kansas Hospital Authority</t>
        </is>
      </c>
      <c r="C114" s="11" t="inlineStr">
        <is>
          <t>V55284</t>
        </is>
      </c>
      <c r="D114" s="93" t="n">
        <v>390.43</v>
      </c>
      <c r="E114" s="93" t="n">
        <v>390.43</v>
      </c>
      <c r="F114" s="93" t="n">
        <v>0</v>
      </c>
      <c r="G114" s="93" t="n">
        <v>58.56</v>
      </c>
      <c r="H114" s="93" t="n">
        <v>331.87</v>
      </c>
      <c r="I114" s="93" t="n">
        <v>0</v>
      </c>
      <c r="J114" s="11" t="inlineStr"/>
    </row>
    <row r="115">
      <c r="A115" s="11" t="inlineStr">
        <is>
          <t>Esther Vazquez Sosa Ramos</t>
        </is>
      </c>
      <c r="B115" s="11" t="inlineStr">
        <is>
          <t>The University of Kansas Hospital Authority</t>
        </is>
      </c>
      <c r="C115" s="11" t="inlineStr">
        <is>
          <t>V51870</t>
        </is>
      </c>
      <c r="D115" s="93" t="n">
        <v>100</v>
      </c>
      <c r="E115" s="93" t="n">
        <v>100</v>
      </c>
      <c r="F115" s="93" t="n">
        <v>0</v>
      </c>
      <c r="G115" s="93" t="n">
        <v>15</v>
      </c>
      <c r="H115" s="93" t="n">
        <v>85</v>
      </c>
      <c r="I115" s="93" t="n">
        <v>0</v>
      </c>
      <c r="J115" s="11" t="inlineStr"/>
    </row>
    <row r="116">
      <c r="A116" s="11" t="inlineStr">
        <is>
          <t>Emma Villegas</t>
        </is>
      </c>
      <c r="B116" s="11" t="inlineStr">
        <is>
          <t>The University of Kansas Hospital Authority</t>
        </is>
      </c>
      <c r="C116" s="11" t="inlineStr">
        <is>
          <t>V53376</t>
        </is>
      </c>
      <c r="D116" s="93" t="n">
        <v>200</v>
      </c>
      <c r="E116" s="93" t="n">
        <v>200</v>
      </c>
      <c r="F116" s="93" t="n">
        <v>0</v>
      </c>
      <c r="G116" s="93" t="n">
        <v>30</v>
      </c>
      <c r="H116" s="93" t="n">
        <v>170</v>
      </c>
      <c r="I116" s="93" t="n">
        <v>0</v>
      </c>
      <c r="J116" s="11" t="inlineStr"/>
    </row>
    <row r="117">
      <c r="A117" s="11" t="inlineStr">
        <is>
          <t>Erica D. Waldron</t>
        </is>
      </c>
      <c r="B117" s="11" t="inlineStr">
        <is>
          <t>The University of Kansas Hospital Authority</t>
        </is>
      </c>
      <c r="C117" s="11" t="inlineStr">
        <is>
          <t>WAR586</t>
        </is>
      </c>
      <c r="D117" s="93" t="n">
        <v>63.55</v>
      </c>
      <c r="E117" s="93" t="n">
        <v>63.55</v>
      </c>
      <c r="F117" s="93" t="n">
        <v>0</v>
      </c>
      <c r="G117" s="93" t="n">
        <v>9.529999999999999</v>
      </c>
      <c r="H117" s="93" t="n">
        <v>54.02</v>
      </c>
      <c r="I117" s="93" t="n">
        <v>0</v>
      </c>
      <c r="J117" s="11" t="inlineStr"/>
    </row>
    <row r="118">
      <c r="A118" s="11" t="inlineStr">
        <is>
          <t>Lauren M Walz</t>
        </is>
      </c>
      <c r="B118" s="11" t="inlineStr">
        <is>
          <t>The University of Kansas Hospital Authority</t>
        </is>
      </c>
      <c r="C118" s="11" t="inlineStr">
        <is>
          <t>WAN991</t>
        </is>
      </c>
      <c r="D118" s="93" t="n">
        <v>455.47</v>
      </c>
      <c r="E118" s="93" t="n">
        <v>455.47</v>
      </c>
      <c r="F118" s="93" t="n">
        <v>0</v>
      </c>
      <c r="G118" s="93" t="n">
        <v>68.31999999999999</v>
      </c>
      <c r="H118" s="93" t="n">
        <v>387.15</v>
      </c>
      <c r="I118" s="93" t="n">
        <v>0</v>
      </c>
      <c r="J118" s="11" t="inlineStr"/>
    </row>
    <row r="119">
      <c r="A119" s="11" t="inlineStr">
        <is>
          <t>Peter J Weidler</t>
        </is>
      </c>
      <c r="B119" s="11" t="inlineStr">
        <is>
          <t>The University of Kansas Hospital Authority</t>
        </is>
      </c>
      <c r="C119" s="11" t="inlineStr">
        <is>
          <t>WAQ396</t>
        </is>
      </c>
      <c r="D119" s="93" t="n">
        <v>635.51</v>
      </c>
      <c r="E119" s="93" t="n">
        <v>635.51</v>
      </c>
      <c r="F119" s="93" t="n">
        <v>0</v>
      </c>
      <c r="G119" s="93" t="n">
        <v>95.33</v>
      </c>
      <c r="H119" s="93" t="n">
        <v>540.1799999999999</v>
      </c>
      <c r="I119" s="93" t="n">
        <v>0</v>
      </c>
      <c r="J119" s="11" t="inlineStr"/>
    </row>
    <row r="120">
      <c r="A120" s="11" t="inlineStr">
        <is>
          <t>Mariah N. Welch</t>
        </is>
      </c>
      <c r="B120" s="11" t="inlineStr">
        <is>
          <t>The University of Kansas Hospital Authority</t>
        </is>
      </c>
      <c r="C120" s="11" t="inlineStr">
        <is>
          <t>WBH531</t>
        </is>
      </c>
      <c r="D120" s="93" t="n">
        <v>470.66</v>
      </c>
      <c r="E120" s="93" t="n">
        <v>317.16</v>
      </c>
      <c r="F120" s="93" t="n">
        <v>153.5</v>
      </c>
      <c r="G120" s="93" t="n">
        <v>47.57</v>
      </c>
      <c r="H120" s="93" t="n">
        <v>269.59</v>
      </c>
      <c r="I120" s="93" t="n">
        <v>0</v>
      </c>
      <c r="J120" s="11" t="inlineStr"/>
    </row>
    <row r="121">
      <c r="A121" s="11" t="inlineStr">
        <is>
          <t>Joni M Wiering</t>
        </is>
      </c>
      <c r="B121" s="11" t="inlineStr">
        <is>
          <t>The University of Kansas Hospital Authority</t>
        </is>
      </c>
      <c r="C121" s="11" t="inlineStr">
        <is>
          <t>WAN195</t>
        </is>
      </c>
      <c r="D121" s="93" t="n">
        <v>385.87</v>
      </c>
      <c r="E121" s="93" t="n">
        <v>385.87</v>
      </c>
      <c r="F121" s="93" t="n">
        <v>0</v>
      </c>
      <c r="G121" s="93" t="n">
        <v>57.88</v>
      </c>
      <c r="H121" s="93" t="n">
        <v>327.99</v>
      </c>
      <c r="I121" s="93" t="n">
        <v>0</v>
      </c>
      <c r="J121" s="11" t="inlineStr"/>
    </row>
    <row r="122">
      <c r="A122" s="11" t="inlineStr">
        <is>
          <t>Barbara J. Wilder</t>
        </is>
      </c>
      <c r="B122" s="11" t="inlineStr">
        <is>
          <t>The University of Kansas Hospital Authority</t>
        </is>
      </c>
      <c r="C122" s="11" t="inlineStr">
        <is>
          <t>WBM500</t>
        </is>
      </c>
      <c r="D122" s="93" t="n">
        <v>616.29</v>
      </c>
      <c r="E122" s="93" t="n">
        <v>466.74</v>
      </c>
      <c r="F122" s="93" t="n">
        <v>0</v>
      </c>
      <c r="G122" s="93" t="n">
        <v>70.01000000000001</v>
      </c>
      <c r="H122" s="93" t="n">
        <v>396.73</v>
      </c>
      <c r="I122" s="93" t="n">
        <v>149.55</v>
      </c>
      <c r="J122" s="11" t="inlineStr"/>
    </row>
    <row r="123">
      <c r="A123" s="11" t="inlineStr">
        <is>
          <t>Andrika Y. Williams</t>
        </is>
      </c>
      <c r="B123" s="11" t="inlineStr">
        <is>
          <t>The University of Kansas Hospital Authority</t>
        </is>
      </c>
      <c r="C123" s="11" t="inlineStr">
        <is>
          <t>WAO708</t>
        </is>
      </c>
      <c r="D123" s="93" t="n">
        <v>100</v>
      </c>
      <c r="E123" s="93" t="n">
        <v>100</v>
      </c>
      <c r="F123" s="93" t="n">
        <v>0</v>
      </c>
      <c r="G123" s="93" t="n">
        <v>15</v>
      </c>
      <c r="H123" s="93" t="n">
        <v>85</v>
      </c>
      <c r="I123" s="93" t="n">
        <v>0</v>
      </c>
      <c r="J123" s="11" t="inlineStr"/>
    </row>
    <row r="124">
      <c r="A124" s="11" t="inlineStr">
        <is>
          <t>Kiera J Wilson</t>
        </is>
      </c>
      <c r="B124" s="11" t="inlineStr">
        <is>
          <t>The University of Kansas Hospital Authority</t>
        </is>
      </c>
      <c r="C124" s="11" t="inlineStr">
        <is>
          <t>WAS421</t>
        </is>
      </c>
      <c r="D124" s="93" t="n">
        <v>150</v>
      </c>
      <c r="E124" s="93" t="n">
        <v>46</v>
      </c>
      <c r="F124" s="93" t="n">
        <v>104</v>
      </c>
      <c r="G124" s="93" t="n">
        <v>6.9</v>
      </c>
      <c r="H124" s="93" t="n">
        <v>39.1</v>
      </c>
      <c r="I124" s="93" t="n">
        <v>0</v>
      </c>
      <c r="J124" s="11" t="inlineStr"/>
    </row>
    <row r="125">
      <c r="A125" s="11" t="inlineStr">
        <is>
          <t>Kelly A. Wolper</t>
        </is>
      </c>
      <c r="B125" s="11" t="inlineStr">
        <is>
          <t>St. Luke's Episcopal-Presbyterian Hospitals</t>
        </is>
      </c>
      <c r="C125" s="11" t="inlineStr">
        <is>
          <t>WAK639</t>
        </is>
      </c>
      <c r="D125" s="93" t="n">
        <v>203.72</v>
      </c>
      <c r="E125" s="93" t="n">
        <v>46.33</v>
      </c>
      <c r="F125" s="93" t="n">
        <v>0</v>
      </c>
      <c r="G125" s="93" t="n">
        <v>6.95</v>
      </c>
      <c r="H125" s="93" t="n">
        <v>39.38</v>
      </c>
      <c r="I125" s="93" t="n">
        <v>157.39</v>
      </c>
      <c r="J125" s="11" t="inlineStr"/>
    </row>
    <row r="126">
      <c r="A126" s="11" t="inlineStr">
        <is>
          <t>Anna M Woltje</t>
        </is>
      </c>
      <c r="B126" s="11" t="inlineStr">
        <is>
          <t>The University of Kansas Hospital Authority</t>
        </is>
      </c>
      <c r="C126" s="11" t="inlineStr">
        <is>
          <t>WAU738</t>
        </is>
      </c>
      <c r="D126" s="93" t="n">
        <v>546.4299999999999</v>
      </c>
      <c r="E126" s="93" t="n">
        <v>546.4299999999999</v>
      </c>
      <c r="F126" s="93" t="n">
        <v>0</v>
      </c>
      <c r="G126" s="93" t="n">
        <v>81.95999999999999</v>
      </c>
      <c r="H126" s="93" t="n">
        <v>464.47</v>
      </c>
      <c r="I126" s="93" t="n">
        <v>0</v>
      </c>
      <c r="J126" s="11" t="inlineStr"/>
    </row>
    <row r="127">
      <c r="A127" s="11" t="inlineStr">
        <is>
          <t>Travis J. Woodward</t>
        </is>
      </c>
      <c r="B127" s="11" t="inlineStr">
        <is>
          <t>The University of Kansas Hospital Authority</t>
        </is>
      </c>
      <c r="C127" s="11" t="inlineStr">
        <is>
          <t>WAN618</t>
        </is>
      </c>
      <c r="D127" s="93" t="n">
        <v>437.48</v>
      </c>
      <c r="E127" s="93" t="n">
        <v>437.48</v>
      </c>
      <c r="F127" s="93" t="n">
        <v>0</v>
      </c>
      <c r="G127" s="93" t="n">
        <v>65.62</v>
      </c>
      <c r="H127" s="93" t="n">
        <v>371.86</v>
      </c>
      <c r="I127" s="93" t="n">
        <v>0</v>
      </c>
      <c r="J127" s="11" t="inlineStr"/>
    </row>
  </sheetData>
  <mergeCells count="12">
    <mergeCell ref="A1:J1"/>
    <mergeCell ref="C7:C8"/>
    <mergeCell ref="A7:A8"/>
    <mergeCell ref="D7:D8"/>
    <mergeCell ref="B7:B8"/>
    <mergeCell ref="K7:K8"/>
    <mergeCell ref="H7:H8"/>
    <mergeCell ref="I7:I8"/>
    <mergeCell ref="A2:J2"/>
    <mergeCell ref="J7:J8"/>
    <mergeCell ref="F7:F8"/>
    <mergeCell ref="G7:G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C5" sqref="C5"/>
    </sheetView>
  </sheetViews>
  <sheetFormatPr baseColWidth="8" defaultRowHeight="15"/>
  <cols>
    <col width="53.140625" customWidth="1" min="1" max="1"/>
    <col width="58.140625" customWidth="1" min="2" max="2"/>
    <col width="65.5703125" customWidth="1" style="89" min="3" max="3"/>
  </cols>
  <sheetData>
    <row r="1" ht="16.5" customHeight="1">
      <c r="A1" s="58" t="inlineStr">
        <is>
          <t>Consumer Collection Management</t>
        </is>
      </c>
      <c r="B1" s="57" t="n"/>
      <c r="C1" s="94" t="n"/>
    </row>
    <row r="2" ht="16.5" customHeight="1">
      <c r="A2" s="59" t="inlineStr">
        <is>
          <t>Interest Only Payments Through 10-19-2026</t>
        </is>
      </c>
      <c r="B2" s="57" t="n"/>
      <c r="C2" s="94" t="n"/>
    </row>
    <row r="3" ht="16.5" customHeight="1">
      <c r="A3" s="57" t="n"/>
      <c r="B3" s="57" t="n"/>
      <c r="C3" s="94" t="n"/>
    </row>
    <row r="4">
      <c r="A4" s="21" t="n"/>
      <c r="B4" s="21" t="n"/>
      <c r="C4" s="94" t="n"/>
    </row>
    <row r="5">
      <c r="A5" s="22" t="n"/>
      <c r="B5" s="23" t="inlineStr">
        <is>
          <t>Total</t>
        </is>
      </c>
      <c r="C5" s="95">
        <f>SUM(C8:C1000)</f>
        <v/>
      </c>
    </row>
    <row r="6">
      <c r="A6" s="21" t="n"/>
      <c r="B6" s="21" t="n"/>
      <c r="C6" s="94" t="n"/>
    </row>
    <row r="7" ht="15.75" customHeight="1" thickBot="1">
      <c r="A7" s="24" t="inlineStr">
        <is>
          <t>DEFENDANT</t>
        </is>
      </c>
      <c r="B7" s="24" t="inlineStr">
        <is>
          <t>PLAINTIFF</t>
        </is>
      </c>
      <c r="C7" s="96" t="inlineStr">
        <is>
          <t>BW LLP INTEREST</t>
        </is>
      </c>
    </row>
    <row r="8">
      <c r="A8" t="inlineStr">
        <is>
          <t>Crystal Nyambegera</t>
        </is>
      </c>
      <c r="B8" t="inlineStr">
        <is>
          <t>The University of Kansas Hospital Authority</t>
        </is>
      </c>
      <c r="C8" t="n">
        <v>33.25</v>
      </c>
    </row>
    <row r="9">
      <c r="A9" t="inlineStr">
        <is>
          <t>Brandi D. Parsons</t>
        </is>
      </c>
      <c r="B9" t="inlineStr">
        <is>
          <t>The University of Kansas Hospital Authority</t>
        </is>
      </c>
      <c r="C9" t="n">
        <v>51.6</v>
      </c>
    </row>
    <row r="10">
      <c r="A10" t="inlineStr">
        <is>
          <t>Aimee K. Pedersen</t>
        </is>
      </c>
      <c r="B10" t="inlineStr">
        <is>
          <t>The University of Kansas Hospital Authority</t>
        </is>
      </c>
      <c r="C10" t="n">
        <v>200</v>
      </c>
    </row>
    <row r="11">
      <c r="A11" t="inlineStr">
        <is>
          <t>Anna N Pisciotta</t>
        </is>
      </c>
      <c r="B11" t="inlineStr">
        <is>
          <t>The University of Kansas Hospital Authority</t>
        </is>
      </c>
      <c r="C11" t="n">
        <v>143.36</v>
      </c>
    </row>
    <row r="12">
      <c r="A12" t="inlineStr">
        <is>
          <t>Stacy Rogers</t>
        </is>
      </c>
      <c r="B12" t="inlineStr">
        <is>
          <t>The University of Kansas Hospital Authority</t>
        </is>
      </c>
      <c r="C12" t="n">
        <v>200</v>
      </c>
    </row>
    <row r="13">
      <c r="A13" t="inlineStr">
        <is>
          <t>Beth A. Schmidt</t>
        </is>
      </c>
      <c r="B13" t="inlineStr">
        <is>
          <t>The University of Kansas Hospital Authority</t>
        </is>
      </c>
      <c r="C13" t="n">
        <v>400.7</v>
      </c>
    </row>
    <row r="14">
      <c r="A14" t="inlineStr">
        <is>
          <t>Alejandro M. Silva</t>
        </is>
      </c>
      <c r="B14" t="inlineStr">
        <is>
          <t>The University of Kansas Hospital Authority</t>
        </is>
      </c>
      <c r="C14" t="n">
        <v>50</v>
      </c>
    </row>
    <row r="15">
      <c r="A15" t="inlineStr">
        <is>
          <t>Allan J. Simon</t>
        </is>
      </c>
      <c r="B15" t="inlineStr">
        <is>
          <t>The University of Kansas Hospital Authority</t>
        </is>
      </c>
      <c r="C15" t="n">
        <v>416.42</v>
      </c>
    </row>
    <row r="16">
      <c r="A16" t="inlineStr">
        <is>
          <t>Jennifer S. Slimmer</t>
        </is>
      </c>
      <c r="B16" t="inlineStr">
        <is>
          <t>The University of Kansas Hospital Authority</t>
        </is>
      </c>
      <c r="C16" t="n">
        <v>396.22</v>
      </c>
    </row>
    <row r="17">
      <c r="A17" t="inlineStr">
        <is>
          <t>Brandy N Smith</t>
        </is>
      </c>
      <c r="B17" t="inlineStr">
        <is>
          <t>The University of Kansas Hospital Authority</t>
        </is>
      </c>
      <c r="C17" t="n">
        <v>11.49</v>
      </c>
    </row>
    <row r="18">
      <c r="A18" t="inlineStr">
        <is>
          <t>Rebecca L. Snyder</t>
        </is>
      </c>
      <c r="B18" t="inlineStr">
        <is>
          <t>The University of Kansas Hospital Authority</t>
        </is>
      </c>
      <c r="C18" t="n">
        <v>112.55</v>
      </c>
    </row>
    <row r="19">
      <c r="A19" t="inlineStr">
        <is>
          <t>Steven M Tompkins</t>
        </is>
      </c>
      <c r="B19" t="inlineStr">
        <is>
          <t>The University of Kansas Hospital Authority</t>
        </is>
      </c>
      <c r="C19" t="n">
        <v>208.68</v>
      </c>
    </row>
    <row r="20">
      <c r="A20" t="inlineStr">
        <is>
          <t>Tacelyn N. Turnbough</t>
        </is>
      </c>
      <c r="B20" t="inlineStr">
        <is>
          <t>The University of Kansas Hospital Authority</t>
        </is>
      </c>
      <c r="C20" t="n">
        <v>11.56</v>
      </c>
    </row>
    <row r="21">
      <c r="A21" t="inlineStr">
        <is>
          <t>Tracy L. Turner</t>
        </is>
      </c>
      <c r="B21" t="inlineStr">
        <is>
          <t>The University of Kansas Hospital Authority</t>
        </is>
      </c>
      <c r="C21" t="n">
        <v>46.88</v>
      </c>
    </row>
    <row r="22">
      <c r="A22" t="inlineStr">
        <is>
          <t>Samantha M Van Fleet</t>
        </is>
      </c>
      <c r="B22" t="inlineStr">
        <is>
          <t>The University of Kansas Hospital Authority</t>
        </is>
      </c>
      <c r="C22" t="n">
        <v>42.21</v>
      </c>
    </row>
    <row r="23">
      <c r="A23" t="inlineStr">
        <is>
          <t>Jalesa M Wallace</t>
        </is>
      </c>
      <c r="B23" t="inlineStr">
        <is>
          <t>The University of Kansas Hospital Authority</t>
        </is>
      </c>
      <c r="C23" t="n">
        <v>340.48</v>
      </c>
    </row>
    <row r="24">
      <c r="A24" t="inlineStr">
        <is>
          <t>Lucinda Weant Davis</t>
        </is>
      </c>
      <c r="B24" t="inlineStr">
        <is>
          <t>The University of Kansas Hospital Authority</t>
        </is>
      </c>
      <c r="C24" t="n">
        <v>76.5</v>
      </c>
    </row>
    <row r="25">
      <c r="A25" t="inlineStr">
        <is>
          <t>Rosemary K. Werdahl</t>
        </is>
      </c>
      <c r="B25" t="inlineStr">
        <is>
          <t>The University of Kansas Hospital Authority</t>
        </is>
      </c>
      <c r="C25" t="n">
        <v>525.42</v>
      </c>
    </row>
    <row r="26">
      <c r="A26" t="inlineStr">
        <is>
          <t>Aisha A. Woods</t>
        </is>
      </c>
      <c r="B26" t="inlineStr">
        <is>
          <t>The University of Kansas Hospital Authority</t>
        </is>
      </c>
      <c r="C26" t="n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</dc:creator>
  <dcterms:created xsi:type="dcterms:W3CDTF">2015-06-05T18:17:20Z</dcterms:created>
  <dcterms:modified xsi:type="dcterms:W3CDTF">2026-10-19T05:58:02Z</dcterms:modified>
  <cp:lastModifiedBy>Parvathynathan K</cp:lastModifiedBy>
</cp:coreProperties>
</file>
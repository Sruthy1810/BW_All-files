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Summary4" sheetId="4" state="visible" r:id="rId4"/>
    <sheet name="Cost" sheetId="5" state="visible" r:id="rId5"/>
    <sheet name="Payments" sheetId="6" state="visible" r:id="rId6"/>
    <sheet name="IntOnly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0.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2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indexed="8"/>
      <sz val="11"/>
    </font>
    <font>
      <name val="Arial Narrow"/>
      <family val="2"/>
      <color rgb="FF000000"/>
      <sz val="11"/>
    </font>
    <font>
      <name val="Arial Narrow"/>
      <family val="2"/>
      <b val="1"/>
      <color theme="1"/>
      <sz val="11"/>
    </font>
    <font>
      <name val="Arial Narrow"/>
      <family val="2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7" fillId="0" borderId="0"/>
    <xf numFmtId="9" fontId="7" fillId="0" borderId="0"/>
    <xf numFmtId="0" fontId="7" fillId="0" borderId="0"/>
    <xf numFmtId="0" fontId="9" fillId="0" borderId="0" applyAlignment="1">
      <alignment vertical="top"/>
    </xf>
    <xf numFmtId="165" fontId="7" fillId="0" borderId="0"/>
    <xf numFmtId="0" fontId="7" fillId="0" borderId="0"/>
    <xf numFmtId="165" fontId="7" fillId="0" borderId="0"/>
    <xf numFmtId="165" fontId="9" fillId="0" borderId="0" applyAlignment="1">
      <alignment vertical="top"/>
    </xf>
    <xf numFmtId="0" fontId="7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pivotButton="0" quotePrefix="0" xfId="1"/>
    <xf numFmtId="0" fontId="1" fillId="0" borderId="0" applyAlignment="1" pivotButton="0" quotePrefix="0" xfId="1">
      <alignment horizontal="center" wrapText="1"/>
    </xf>
    <xf numFmtId="0" fontId="0" fillId="0" borderId="0" pivotButton="0" quotePrefix="0" xfId="1"/>
    <xf numFmtId="0" fontId="4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horizontal="right" vertical="top"/>
      <protection locked="0" hidden="0"/>
    </xf>
    <xf numFmtId="0" fontId="10" fillId="0" borderId="2" applyAlignment="1" applyProtection="1" pivotButton="0" quotePrefix="0" xfId="0">
      <alignment vertical="top"/>
      <protection locked="0" hidden="0"/>
    </xf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wrapText="1"/>
    </xf>
    <xf numFmtId="0" fontId="13" fillId="0" borderId="0" pivotButton="0" quotePrefix="0" xfId="2"/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left"/>
    </xf>
    <xf numFmtId="165" fontId="13" fillId="0" borderId="0" pivotButton="0" quotePrefix="0" xfId="4"/>
    <xf numFmtId="165" fontId="13" fillId="0" borderId="0" pivotButton="0" quotePrefix="0" xfId="4"/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0" fontId="13" fillId="0" borderId="0" pivotButton="0" quotePrefix="0" xfId="0"/>
    <xf numFmtId="0" fontId="15" fillId="0" borderId="0" pivotButton="0" quotePrefix="0" xfId="0"/>
    <xf numFmtId="165" fontId="13" fillId="0" borderId="1" pivotButton="0" quotePrefix="0" xfId="4"/>
    <xf numFmtId="164" fontId="11" fillId="2" borderId="0" pivotButton="0" quotePrefix="0" xfId="0"/>
    <xf numFmtId="0" fontId="13" fillId="0" borderId="0" pivotButton="0" quotePrefix="0" xfId="5"/>
    <xf numFmtId="0" fontId="11" fillId="0" borderId="0" pivotButton="0" quotePrefix="0" xfId="5"/>
    <xf numFmtId="165" fontId="13" fillId="0" borderId="0" pivotButton="0" quotePrefix="0" xfId="6"/>
    <xf numFmtId="165" fontId="13" fillId="0" borderId="0" pivotButton="0" quotePrefix="0" xfId="6"/>
    <xf numFmtId="165" fontId="13" fillId="0" borderId="1" pivotButton="0" quotePrefix="0" xfId="6"/>
    <xf numFmtId="0" fontId="12" fillId="0" borderId="0" pivotButton="0" quotePrefix="0" xfId="5"/>
    <xf numFmtId="0" fontId="16" fillId="0" borderId="0" pivotButton="0" quotePrefix="0" xfId="5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0" fontId="13" fillId="0" borderId="0" pivotButton="0" quotePrefix="0" xfId="8"/>
    <xf numFmtId="0" fontId="11" fillId="0" borderId="0" pivotButton="0" quotePrefix="0" xfId="2"/>
    <xf numFmtId="165" fontId="13" fillId="0" borderId="1" pivotButton="0" quotePrefix="0" xfId="4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0" fontId="11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center"/>
    </xf>
    <xf numFmtId="0" fontId="16" fillId="0" borderId="0" applyAlignment="1" pivotButton="0" quotePrefix="0" xfId="5">
      <alignment horizontal="center"/>
    </xf>
    <xf numFmtId="0" fontId="16" fillId="0" borderId="0" applyAlignment="1" pivotButton="0" quotePrefix="0" xfId="8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165" fontId="13" fillId="0" borderId="1" pivotButton="0" quotePrefix="0" xfId="4"/>
    <xf numFmtId="164" fontId="11" fillId="2" borderId="0" pivotButton="0" quotePrefix="0" xfId="0"/>
    <xf numFmtId="165" fontId="13" fillId="0" borderId="0" pivotButton="0" quotePrefix="0" xfId="6"/>
    <xf numFmtId="165" fontId="13" fillId="0" borderId="1" pivotButton="0" quotePrefix="0" xfId="6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164" fontId="0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6" fontId="0" fillId="0" borderId="0" pivotButton="0" quotePrefix="0" xfId="0"/>
    <xf numFmtId="164" fontId="3" fillId="0" borderId="0" pivotButton="0" quotePrefix="0" xfId="0"/>
    <xf numFmtId="164" fontId="0" fillId="0" borderId="0" applyAlignment="1" applyProtection="1" pivotButton="0" quotePrefix="0" xfId="0">
      <alignment vertical="top"/>
      <protection locked="0" hidden="0"/>
    </xf>
    <xf numFmtId="167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</cellXfs>
  <cellStyles count="9">
    <cellStyle name="Normal" xfId="0" builtinId="0"/>
    <cellStyle name="Percent" xfId="1" builtinId="5"/>
    <cellStyle name="Normal 3 2" xfId="2"/>
    <cellStyle name="Normal 2" xfId="3"/>
    <cellStyle name="Currency 2 2" xfId="4"/>
    <cellStyle name="Normal 3 2 3 2" xfId="5"/>
    <cellStyle name="Currency 2 2 2 2" xfId="6"/>
    <cellStyle name="Currency 2" xfId="7"/>
    <cellStyle name="Normal 3 2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7541067" cy="885825"/>
    <pic>
      <nvPicPr>
        <cNvPr id="2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7541067" cy="885825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8" zoomScaleNormal="98" workbookViewId="0">
      <selection activeCell="G19" sqref="G19"/>
    </sheetView>
  </sheetViews>
  <sheetFormatPr baseColWidth="8" defaultRowHeight="15"/>
  <cols>
    <col width="24.85546875" customWidth="1" min="1" max="1"/>
    <col width="29.85546875" customWidth="1" min="2" max="2"/>
    <col width="13.28515625" customWidth="1" style="2" min="3" max="3"/>
    <col width="17.5703125" customWidth="1" min="4" max="4"/>
    <col width="15.85546875" customWidth="1" min="5" max="5"/>
    <col width="11.140625" customWidth="1" min="6" max="6"/>
    <col width="7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 ht="15.75" customHeight="1">
      <c r="E3" s="65" t="n"/>
    </row>
    <row r="4" ht="15.75" customHeight="1">
      <c r="E4" s="64" t="n"/>
    </row>
    <row r="5" ht="15.75" customHeight="1">
      <c r="E5" s="66" t="n"/>
    </row>
    <row r="6" ht="15.75" customHeight="1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n"/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>
      <c r="C14" s="26" t="n"/>
    </row>
    <row r="15" ht="16.5" customFormat="1" customHeight="1" s="25">
      <c r="A15" s="27" t="inlineStr">
        <is>
          <t>NKC HEALTH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Payments!E5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6">
        <f>-Payments!H5</f>
        <v/>
      </c>
      <c r="E25" s="30" t="n"/>
      <c r="F25" s="30" t="n"/>
      <c r="G25" s="30" t="n"/>
    </row>
    <row r="26" ht="16.5" customFormat="1" customHeight="1" s="25">
      <c r="A26" s="29" t="inlineStr">
        <is>
          <t>Less - New Costs Advanced by BW LLP</t>
        </is>
      </c>
      <c r="B26" s="29" t="n"/>
      <c r="C26" s="30" t="n"/>
      <c r="D26" s="76">
        <f>-Cost!D5</f>
        <v/>
      </c>
      <c r="E26" s="30" t="n"/>
      <c r="F26" s="30" t="n"/>
      <c r="G26" s="30" t="n"/>
    </row>
    <row r="27" ht="16.5" customFormat="1" customHeight="1" s="25">
      <c r="A27" s="29" t="inlineStr">
        <is>
          <t>Less - Commission on Direct Payments</t>
        </is>
      </c>
      <c r="B27" s="29" t="n"/>
      <c r="C27" s="30" t="n"/>
      <c r="D27" s="77" t="n">
        <v>0</v>
      </c>
      <c r="E27" s="30" t="n"/>
      <c r="F27" s="30" t="n"/>
      <c r="G27" s="30" t="n"/>
    </row>
    <row r="28" ht="16.5" customFormat="1" customHeight="1" s="25">
      <c r="A28" s="29" t="inlineStr">
        <is>
          <t>Net Cash Distribution</t>
        </is>
      </c>
      <c r="B28" s="29" t="n"/>
      <c r="C28" s="30" t="n"/>
      <c r="D28" s="76">
        <f>SUM(D23:D27)</f>
        <v/>
      </c>
      <c r="E28" s="36" t="n"/>
    </row>
    <row r="29" ht="16.5" customFormat="1" customHeight="1" s="25">
      <c r="A29" s="36" t="n"/>
      <c r="B29" s="36" t="n"/>
      <c r="C29" s="36" t="n"/>
      <c r="D29" s="36" t="n"/>
      <c r="E29" s="36" t="n"/>
    </row>
    <row r="30" ht="16.5" customFormat="1" customHeight="1" s="25">
      <c r="C30" s="26" t="n"/>
    </row>
    <row r="31" ht="16.5" customFormat="1" customHeight="1" s="25">
      <c r="C31" s="26" t="n"/>
    </row>
    <row r="32" ht="16.5" customFormat="1" customHeight="1" s="25">
      <c r="C32" s="26" t="n"/>
    </row>
    <row r="33" ht="16.5" customFormat="1" customHeight="1" s="25">
      <c r="C33" s="26" t="n"/>
    </row>
    <row r="34" ht="16.5" customFormat="1" customHeight="1" s="25">
      <c r="C34" s="26" t="n"/>
    </row>
  </sheetData>
  <mergeCells count="18">
    <mergeCell ref="B10:D10"/>
    <mergeCell ref="B11:D11"/>
    <mergeCell ref="E10:G10"/>
    <mergeCell ref="E2:G2"/>
    <mergeCell ref="E11:G11"/>
    <mergeCell ref="E5:G5"/>
    <mergeCell ref="B8:D8"/>
    <mergeCell ref="E8:G8"/>
    <mergeCell ref="A1:D6"/>
    <mergeCell ref="B9:D9"/>
    <mergeCell ref="E12:G12"/>
    <mergeCell ref="E9:G9"/>
    <mergeCell ref="E4:G4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D29" sqref="D29"/>
    </sheetView>
  </sheetViews>
  <sheetFormatPr baseColWidth="8" defaultColWidth="26.42578125" defaultRowHeight="15"/>
  <cols>
    <col width="26.42578125" customWidth="1" min="3" max="4"/>
    <col width="7.42578125" customWidth="1" min="5" max="5"/>
    <col width="4.140625" customWidth="1" min="6" max="6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6.5" customFormat="1" customHeight="1" s="25"/>
    <row r="14" ht="16.5" customFormat="1" customHeight="1" s="25">
      <c r="C14" s="26" t="n"/>
      <c r="F14" s="37" t="n"/>
      <c r="G14" s="37" t="n"/>
    </row>
    <row r="15" ht="16.5" customFormat="1" customHeight="1" s="25">
      <c r="A15" s="27" t="inlineStr">
        <is>
          <t>NKC HEALTH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Payments!D5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8">
        <f>-Payments!H5</f>
        <v/>
      </c>
      <c r="E25" s="30" t="n"/>
      <c r="F25" s="30" t="n"/>
      <c r="G25" s="30" t="n"/>
    </row>
    <row r="26" ht="16.5" customFormat="1" customHeight="1" s="25">
      <c r="A26" s="36" t="inlineStr">
        <is>
          <t>Net Cash Distribution</t>
        </is>
      </c>
      <c r="B26" s="29" t="n"/>
      <c r="C26" s="30" t="n"/>
      <c r="D26" s="76">
        <f>SUM(D23:D25)</f>
        <v/>
      </c>
      <c r="E26" s="30" t="n"/>
      <c r="F26" s="30" t="n"/>
      <c r="G26" s="30" t="n"/>
    </row>
    <row r="27" ht="16.5" customFormat="1" customHeight="1" s="25">
      <c r="A27" s="36" t="n"/>
    </row>
    <row r="28" ht="16.5" customFormat="1" customHeight="1" s="25">
      <c r="A28" s="25" t="inlineStr">
        <is>
          <t xml:space="preserve">Total Due for New Costs Advanced by BW LLP </t>
        </is>
      </c>
      <c r="D28" s="79">
        <f>Cost!D5</f>
        <v/>
      </c>
    </row>
    <row r="29" ht="16.5" customFormat="1" customHeight="1" s="25"/>
    <row r="30" ht="16.5" customFormat="1" customHeight="1" s="25"/>
    <row r="31" ht="16.5" customFormat="1" customHeight="1" s="25"/>
    <row r="32" ht="16.5" customFormat="1" customHeight="1" s="25"/>
    <row r="33" ht="16.5" customFormat="1" customHeight="1" s="25"/>
    <row r="34" ht="16.5" customFormat="1" customHeight="1" s="25"/>
    <row r="35" ht="16.5" customFormat="1" customHeight="1" s="25"/>
    <row r="36" ht="16.5" customFormat="1" customHeight="1" s="25"/>
    <row r="37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opLeftCell="A19" workbookViewId="0">
      <selection activeCell="D52" sqref="D52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NKC HEALTH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68" t="inlineStr">
        <is>
          <t>Payment Summary</t>
        </is>
      </c>
      <c r="E22" s="30" t="n"/>
      <c r="F22" s="30" t="n"/>
      <c r="G22" s="30" t="n"/>
    </row>
    <row r="23" ht="16.5" customFormat="1" customHeight="1" s="25">
      <c r="A23" s="40" t="inlineStr">
        <is>
          <t>Principal Payments</t>
        </is>
      </c>
      <c r="B23" s="40" t="n"/>
      <c r="C23" s="41" t="n"/>
      <c r="D23" s="80">
        <f>Payments!E5</f>
        <v/>
      </c>
      <c r="E23" s="30" t="n"/>
      <c r="F23" s="30" t="n"/>
      <c r="G23" s="30" t="n"/>
    </row>
    <row r="24" ht="16.5" customFormat="1" customHeight="1" s="25">
      <c r="A24" s="40" t="inlineStr">
        <is>
          <t>Costs Returned by Defendant</t>
        </is>
      </c>
      <c r="B24" s="40" t="n"/>
      <c r="C24" s="41" t="n"/>
      <c r="D24" s="80">
        <f>Payments!F5</f>
        <v/>
      </c>
      <c r="E24" s="36" t="n"/>
    </row>
    <row r="25" ht="16.5" customFormat="1" customHeight="1" s="25">
      <c r="A25" s="40" t="inlineStr">
        <is>
          <t>Interest from Payments Worksheet</t>
        </is>
      </c>
      <c r="B25" s="40" t="n"/>
      <c r="C25" s="41" t="n"/>
      <c r="D25" s="80">
        <f>Payments!I5</f>
        <v/>
      </c>
      <c r="E25" s="36" t="n"/>
    </row>
    <row r="26" ht="14.25" customFormat="1" customHeight="1" s="25">
      <c r="A26" s="40" t="inlineStr">
        <is>
          <t>Interest from IntOnly Worksheet</t>
        </is>
      </c>
      <c r="B26" s="40" t="n"/>
      <c r="C26" s="41" t="n"/>
      <c r="D26" s="81">
        <f>IntOnly!C5</f>
        <v/>
      </c>
      <c r="E26" s="36" t="n"/>
    </row>
    <row r="27" ht="16.5" customFormat="1" customHeight="1" s="25">
      <c r="A27" s="45" t="inlineStr">
        <is>
          <t>Total Recovered by BW</t>
        </is>
      </c>
      <c r="B27" s="45" t="n"/>
      <c r="C27" s="46" t="n"/>
      <c r="D27" s="82">
        <f>SUM(D23:D26)</f>
        <v/>
      </c>
      <c r="E27" s="37" t="n"/>
    </row>
    <row r="28" ht="16.5" customFormat="1" customHeight="1" s="25">
      <c r="A28" s="45" t="n"/>
      <c r="B28" s="45" t="n"/>
      <c r="C28" s="46" t="n"/>
      <c r="D28" s="82" t="n"/>
      <c r="E28" s="37" t="n"/>
    </row>
    <row r="29" ht="16.5" customFormat="1" customHeight="1" s="25">
      <c r="A29" s="69" t="inlineStr">
        <is>
          <t>Commission Calculation</t>
        </is>
      </c>
      <c r="E29" s="36" t="n"/>
    </row>
    <row r="30" ht="16.5" customFormat="1" customHeight="1" s="25">
      <c r="A30" s="41" t="inlineStr">
        <is>
          <t>Principal Payments</t>
        </is>
      </c>
      <c r="B30" s="41" t="n"/>
      <c r="C30" s="41" t="n"/>
      <c r="D30" s="83">
        <f>D23</f>
        <v/>
      </c>
    </row>
    <row r="31" ht="16.5" customFormat="1" customHeight="1" s="25">
      <c r="A31" s="41" t="inlineStr">
        <is>
          <t>Client Commission</t>
        </is>
      </c>
      <c r="B31" s="41" t="n"/>
      <c r="C31" s="41" t="n"/>
      <c r="D31" s="84">
        <f>-Payments!G5</f>
        <v/>
      </c>
    </row>
    <row r="32" ht="16.5" customFormat="1" customHeight="1" s="25">
      <c r="A32" s="46" t="inlineStr">
        <is>
          <t>BW Commission</t>
        </is>
      </c>
      <c r="B32" s="46" t="n"/>
      <c r="C32" s="46" t="n"/>
      <c r="D32" s="85">
        <f>SUM(D30:D31)</f>
        <v/>
      </c>
    </row>
    <row r="33" ht="16.5" customFormat="1" customHeight="1" s="25">
      <c r="A33" s="46" t="n"/>
      <c r="B33" s="46" t="n"/>
      <c r="C33" s="46" t="n"/>
      <c r="D33" s="85" t="n"/>
    </row>
    <row r="34" ht="16.5" customFormat="1" customHeight="1" s="25">
      <c r="A34" s="70" t="inlineStr">
        <is>
          <t>Total Cost and Commission for BW LLP</t>
        </is>
      </c>
    </row>
    <row r="35" ht="16.5" customFormat="1" customHeight="1" s="25">
      <c r="A35" s="41" t="inlineStr">
        <is>
          <t>BW Commission</t>
        </is>
      </c>
      <c r="B35" s="41" t="n"/>
      <c r="C35" s="41" t="n"/>
      <c r="D35" s="83">
        <f>D32</f>
        <v/>
      </c>
    </row>
    <row r="36" ht="16.5" customFormat="1" customHeight="1" s="25">
      <c r="A36" s="41" t="inlineStr">
        <is>
          <t>BW Commission on Direct Pmt</t>
        </is>
      </c>
      <c r="B36" s="41" t="n"/>
      <c r="C36" s="41" t="n"/>
      <c r="D36" s="83" t="n">
        <v>0</v>
      </c>
    </row>
    <row r="37" ht="16.5" customFormat="1" customHeight="1" s="25">
      <c r="A37" s="41" t="inlineStr">
        <is>
          <t>Amount due for Advanced Costs</t>
        </is>
      </c>
      <c r="B37" s="41" t="n"/>
      <c r="C37" s="41" t="n"/>
      <c r="D37" s="84">
        <f>Cost!D5</f>
        <v/>
      </c>
    </row>
    <row r="38" ht="16.5" customFormat="1" customHeight="1" s="25">
      <c r="A38" s="46" t="inlineStr">
        <is>
          <t>Total Due to BW LLP</t>
        </is>
      </c>
      <c r="B38" s="46" t="n"/>
      <c r="C38" s="46" t="n"/>
      <c r="D38" s="86">
        <f>SUM(D35:D37)</f>
        <v/>
      </c>
    </row>
    <row r="39" ht="16.5" customFormat="1" customHeight="1" s="25">
      <c r="A39" s="46" t="n"/>
      <c r="B39" s="46" t="n"/>
      <c r="C39" s="46" t="n"/>
      <c r="D39" s="85" t="n"/>
    </row>
    <row r="40" ht="16.5" customFormat="1" customHeight="1" s="25">
      <c r="A40" s="69" t="inlineStr">
        <is>
          <t>ACH Explanation</t>
        </is>
      </c>
    </row>
    <row r="41" ht="16.5" customFormat="1" customHeight="1" s="25">
      <c r="A41" s="41" t="inlineStr">
        <is>
          <t>Total Recovered by BW LLP</t>
        </is>
      </c>
      <c r="B41" s="41" t="n"/>
      <c r="C41" s="41" t="n"/>
      <c r="D41" s="83">
        <f>D27</f>
        <v/>
      </c>
    </row>
    <row r="42" ht="16.5" customFormat="1" customHeight="1" s="25">
      <c r="A42" s="41" t="inlineStr">
        <is>
          <t>Less- Interest Kept By BW from Payments Worksheet</t>
        </is>
      </c>
      <c r="B42" s="41" t="n"/>
      <c r="C42" s="41" t="n"/>
      <c r="D42" s="83">
        <f>-D25</f>
        <v/>
      </c>
    </row>
    <row r="43" ht="16.5" customFormat="1" customHeight="1" s="25">
      <c r="A43" s="41" t="inlineStr">
        <is>
          <t>Less- Interest Kept By BW from Int Only Worksheet</t>
        </is>
      </c>
      <c r="B43" s="41" t="n"/>
      <c r="C43" s="41" t="n"/>
      <c r="D43" s="83">
        <f>-D26</f>
        <v/>
      </c>
    </row>
    <row r="44" ht="16.5" customFormat="1" customHeight="1" s="25">
      <c r="A44" s="41" t="inlineStr">
        <is>
          <t>Less- BW Commission</t>
        </is>
      </c>
      <c r="B44" s="41" t="n"/>
      <c r="C44" s="41" t="n"/>
      <c r="D44" s="83">
        <f>-(D35+D36)</f>
        <v/>
      </c>
    </row>
    <row r="45" ht="16.5" customFormat="1" customHeight="1" s="25">
      <c r="A45" s="41" t="inlineStr">
        <is>
          <t>Less Amount Due for Advanced Costs</t>
        </is>
      </c>
      <c r="B45" s="41" t="n"/>
      <c r="C45" s="41" t="n"/>
      <c r="D45" s="84">
        <f>-D37</f>
        <v/>
      </c>
    </row>
    <row r="46" ht="16.5" customFormat="1" customHeight="1" s="25">
      <c r="A46" s="46" t="inlineStr">
        <is>
          <t>Total Sent to Client Via ACH</t>
        </is>
      </c>
      <c r="B46" s="46" t="n"/>
      <c r="C46" s="46" t="n"/>
      <c r="D46" s="86">
        <f>SUM(D41:D45)</f>
        <v/>
      </c>
    </row>
  </sheetData>
  <mergeCells count="22">
    <mergeCell ref="B11:D11"/>
    <mergeCell ref="E10:G10"/>
    <mergeCell ref="A22:D22"/>
    <mergeCell ref="B8:D8"/>
    <mergeCell ref="A1:D6"/>
    <mergeCell ref="A29:D29"/>
    <mergeCell ref="E9:G9"/>
    <mergeCell ref="E6:G6"/>
    <mergeCell ref="B10:D10"/>
    <mergeCell ref="A40:D40"/>
    <mergeCell ref="E2:G2"/>
    <mergeCell ref="E11:G11"/>
    <mergeCell ref="A34:D34"/>
    <mergeCell ref="B9:D9"/>
    <mergeCell ref="E7:G7"/>
    <mergeCell ref="E12:G12"/>
    <mergeCell ref="E3:G3"/>
    <mergeCell ref="B7:D7"/>
    <mergeCell ref="E5:G5"/>
    <mergeCell ref="E8:G8"/>
    <mergeCell ref="E4:G4"/>
    <mergeCell ref="B12: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10" workbookViewId="0">
      <selection activeCell="D29" sqref="D29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NKC HEALTH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52" t="inlineStr">
        <is>
          <t>Defendant Payments</t>
        </is>
      </c>
      <c r="B23" s="29" t="n"/>
      <c r="C23" s="53" t="n"/>
      <c r="D23" s="76">
        <f>Payments!D5</f>
        <v/>
      </c>
      <c r="E23" s="53" t="n"/>
      <c r="F23" s="30" t="n"/>
      <c r="G23" s="30" t="n"/>
    </row>
    <row r="24" ht="16.5" customFormat="1" customHeight="1" s="25">
      <c r="A24" s="52" t="inlineStr">
        <is>
          <t>Less - BW LLP Share</t>
        </is>
      </c>
      <c r="B24" s="29" t="n"/>
      <c r="C24" s="53" t="n"/>
      <c r="D24" s="76">
        <f>-Payments!H5</f>
        <v/>
      </c>
      <c r="E24" s="53" t="n"/>
      <c r="F24" s="30" t="n"/>
      <c r="G24" s="30" t="n"/>
    </row>
    <row r="25" ht="16.5" customFormat="1" customHeight="1" s="25">
      <c r="A25" s="52" t="inlineStr">
        <is>
          <t>Less - BW LLP Interest</t>
        </is>
      </c>
      <c r="B25" s="29" t="n"/>
      <c r="C25" s="53" t="n"/>
      <c r="D25" s="76">
        <f>-Payments!I5</f>
        <v/>
      </c>
      <c r="E25" s="53" t="n"/>
      <c r="F25" s="30" t="n"/>
      <c r="G25" s="30" t="n"/>
    </row>
    <row r="26" ht="16.5" customFormat="1" customHeight="1" s="25">
      <c r="A26" s="52" t="inlineStr">
        <is>
          <t>Less - Costs Recovered For BW LLP</t>
        </is>
      </c>
      <c r="B26" s="29" t="n"/>
      <c r="C26" s="53" t="n"/>
      <c r="D26" s="78">
        <f>-Payments!F5</f>
        <v/>
      </c>
      <c r="E26" s="53" t="n"/>
      <c r="F26" s="30" t="n"/>
      <c r="G26" s="30" t="n"/>
    </row>
    <row r="27" ht="14.25" customFormat="1" customHeight="1" s="25">
      <c r="A27" s="52" t="inlineStr">
        <is>
          <t>Net Cash Distribution</t>
        </is>
      </c>
      <c r="B27" s="29" t="n"/>
      <c r="C27" s="53" t="n"/>
      <c r="D27" s="87">
        <f>SUM(D23:D26)</f>
        <v/>
      </c>
      <c r="E27" s="53" t="n"/>
      <c r="F27" s="30" t="n"/>
      <c r="G27" s="30" t="n"/>
    </row>
    <row r="28" ht="16.5" customFormat="1" customHeight="1" s="25">
      <c r="A28" s="29" t="n"/>
      <c r="B28" s="29" t="n"/>
      <c r="C28" s="53" t="n"/>
      <c r="D28" s="76" t="n"/>
      <c r="E28" s="53" t="n"/>
    </row>
    <row r="29" ht="16.5" customFormat="1" customHeight="1" s="25">
      <c r="A29" s="29" t="inlineStr">
        <is>
          <t>New Costs Advanced by BW LLP</t>
        </is>
      </c>
      <c r="B29" s="53" t="n"/>
      <c r="C29" s="53" t="n"/>
      <c r="D29" s="88" t="n"/>
      <c r="E29" s="53" t="n"/>
    </row>
    <row r="30" ht="16.5" customFormat="1" customHeight="1" s="25"/>
    <row r="31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D19" sqref="D19"/>
    </sheetView>
  </sheetViews>
  <sheetFormatPr baseColWidth="8" defaultRowHeight="15"/>
  <cols>
    <col width="37.5703125" customWidth="1" min="1" max="1"/>
    <col width="25.28515625" customWidth="1" min="2" max="2"/>
    <col width="31.7109375" customWidth="1" style="19" min="3" max="3"/>
    <col width="41.5703125" customWidth="1" style="89" min="4" max="4"/>
    <col width="46.28515625" customWidth="1" min="5" max="5"/>
    <col width="54.7109375" customWidth="1" min="6" max="6"/>
  </cols>
  <sheetData>
    <row r="1">
      <c r="B1" s="71" t="inlineStr">
        <is>
          <t>NKC HEALTH COST REPORT</t>
        </is>
      </c>
    </row>
    <row r="2">
      <c r="B2" s="71" t="inlineStr">
        <is>
          <t>Costs Thru 10-19-2026</t>
        </is>
      </c>
    </row>
    <row r="3">
      <c r="B3" s="74" t="n"/>
      <c r="C3" s="16" t="n"/>
      <c r="D3" s="90" t="n"/>
      <c r="E3" s="8" t="inlineStr">
        <is>
          <t> </t>
        </is>
      </c>
    </row>
    <row r="4">
      <c r="B4" s="74" t="n"/>
      <c r="C4" s="16" t="n"/>
      <c r="D4" s="90" t="n"/>
      <c r="E4" s="8" t="n"/>
    </row>
    <row r="5">
      <c r="B5" s="9" t="inlineStr">
        <is>
          <t>Total</t>
        </is>
      </c>
      <c r="C5" s="19" t="n"/>
      <c r="D5" s="89">
        <f>SUM(D8:D6500)</f>
        <v/>
      </c>
      <c r="E5" s="10" t="n"/>
    </row>
    <row r="6">
      <c r="C6" s="19" t="n"/>
    </row>
    <row r="7" ht="26.25" customHeight="1">
      <c r="A7" s="71" t="inlineStr">
        <is>
          <t>DEFENDANT'S NAME</t>
        </is>
      </c>
      <c r="B7" s="71" t="inlineStr">
        <is>
          <t>PLAINTIFF</t>
        </is>
      </c>
      <c r="C7" s="18" t="inlineStr">
        <is>
          <t>REF NO.</t>
        </is>
      </c>
      <c r="D7" s="91" t="inlineStr">
        <is>
          <t>AMOUNT</t>
        </is>
      </c>
      <c r="E7" s="71" t="inlineStr">
        <is>
          <t>COST REASON</t>
        </is>
      </c>
      <c r="F7" s="71" t="inlineStr">
        <is>
          <t>NOTES</t>
        </is>
      </c>
    </row>
    <row r="8">
      <c r="A8" t="inlineStr">
        <is>
          <t>Cynthia L. Berten</t>
        </is>
      </c>
      <c r="B8" t="inlineStr">
        <is>
          <t>Board of Trustees of North Kansas City Hospital d/b/a</t>
        </is>
      </c>
      <c r="C8" s="19" t="inlineStr">
        <is>
          <t>BNL379</t>
        </is>
      </c>
      <c r="D8" t="n">
        <v>10.5</v>
      </c>
      <c r="E8" t="inlineStr">
        <is>
          <t>EGRN:E-filed Garnishment Fee</t>
        </is>
      </c>
      <c r="F8" t="inlineStr">
        <is>
          <t>Court Fee</t>
        </is>
      </c>
    </row>
    <row r="9">
      <c r="A9" t="inlineStr">
        <is>
          <t>Cynthia L. Berten</t>
        </is>
      </c>
      <c r="B9" t="inlineStr">
        <is>
          <t>Board of Trustees of North Kansas City Hospital d/b/a</t>
        </is>
      </c>
      <c r="C9" s="19" t="inlineStr">
        <is>
          <t>BNL379</t>
        </is>
      </c>
      <c r="D9" t="n">
        <v>46</v>
      </c>
      <c r="E9" t="inlineStr">
        <is>
          <t>GARN:Garnishment</t>
        </is>
      </c>
      <c r="F9" t="inlineStr">
        <is>
          <t>WG</t>
        </is>
      </c>
    </row>
    <row r="10">
      <c r="A10" t="inlineStr">
        <is>
          <t>Joy A. Bruner</t>
        </is>
      </c>
      <c r="B10" t="inlineStr">
        <is>
          <t>Board of Trustees of North Kansas City Hospital d/b/a</t>
        </is>
      </c>
      <c r="C10" s="19" t="inlineStr">
        <is>
          <t>BOD130</t>
        </is>
      </c>
      <c r="D10" t="n">
        <v>34</v>
      </c>
      <c r="E10" t="inlineStr">
        <is>
          <t>EFIL:E-filed Filing Fee</t>
        </is>
      </c>
      <c r="F10" t="inlineStr"/>
    </row>
    <row r="11">
      <c r="A11" t="inlineStr">
        <is>
          <t>Joy A. Bruner</t>
        </is>
      </c>
      <c r="B11" t="inlineStr">
        <is>
          <t>Board of Trustees of North Kansas City Hospital d/b/a</t>
        </is>
      </c>
      <c r="C11" s="19" t="inlineStr">
        <is>
          <t>BOD130</t>
        </is>
      </c>
      <c r="D11" t="n">
        <v>70</v>
      </c>
      <c r="E11" t="inlineStr">
        <is>
          <t>ESPS:ACH Special Prcss Fee</t>
        </is>
      </c>
      <c r="F11" t="inlineStr"/>
    </row>
    <row r="12">
      <c r="A12" t="inlineStr">
        <is>
          <t>Julie D. Burr</t>
        </is>
      </c>
      <c r="B12" t="inlineStr">
        <is>
          <t>Board of Trustees of North Kansas City Hospital d/b/a</t>
        </is>
      </c>
      <c r="C12" s="19" t="inlineStr">
        <is>
          <t>BOF202</t>
        </is>
      </c>
      <c r="D12" t="n">
        <v>111</v>
      </c>
      <c r="E12" t="inlineStr">
        <is>
          <t>EFIL:E-filed Filing Fee</t>
        </is>
      </c>
      <c r="F12" t="inlineStr"/>
    </row>
    <row r="13">
      <c r="A13" t="inlineStr">
        <is>
          <t>Julie D. Burr</t>
        </is>
      </c>
      <c r="B13" t="inlineStr">
        <is>
          <t>Board of Trustees of North Kansas City Hospital d/b/a</t>
        </is>
      </c>
      <c r="C13" s="19" t="inlineStr">
        <is>
          <t>BOF202</t>
        </is>
      </c>
      <c r="D13" t="n">
        <v>70</v>
      </c>
      <c r="E13" t="inlineStr">
        <is>
          <t>ESPS:ACH Special Prcss Fee</t>
        </is>
      </c>
      <c r="F13" t="inlineStr"/>
    </row>
    <row r="14">
      <c r="A14" t="inlineStr">
        <is>
          <t>Rachelle M Byrd</t>
        </is>
      </c>
      <c r="B14" t="inlineStr">
        <is>
          <t>Board of Trustees of North Kansas City Hospital d/b/a</t>
        </is>
      </c>
      <c r="C14" s="19" t="inlineStr">
        <is>
          <t>BKL318</t>
        </is>
      </c>
      <c r="D14" t="n">
        <v>10.5</v>
      </c>
      <c r="E14" t="inlineStr">
        <is>
          <t>EFIL:E-filed Filing Fee</t>
        </is>
      </c>
      <c r="F14" t="inlineStr">
        <is>
          <t>Court fee</t>
        </is>
      </c>
    </row>
    <row r="15">
      <c r="A15" t="inlineStr">
        <is>
          <t>Rachelle M Byrd</t>
        </is>
      </c>
      <c r="B15" t="inlineStr">
        <is>
          <t>Board of Trustees of North Kansas City Hospital d/b/a</t>
        </is>
      </c>
      <c r="C15" s="19" t="inlineStr">
        <is>
          <t>BKL318</t>
        </is>
      </c>
      <c r="D15" t="n">
        <v>55.22</v>
      </c>
      <c r="E15" t="inlineStr">
        <is>
          <t>SHFE:Sheriff's Fee</t>
        </is>
      </c>
      <c r="F15" t="inlineStr">
        <is>
          <t>gmt @ mr poe</t>
        </is>
      </c>
    </row>
    <row r="16">
      <c r="A16" t="inlineStr">
        <is>
          <t>Matthew A. Carlton</t>
        </is>
      </c>
      <c r="B16" t="inlineStr">
        <is>
          <t>Board of Trustees of North Kansas City Hospital d/b/a</t>
        </is>
      </c>
      <c r="C16" s="19" t="inlineStr">
        <is>
          <t>CIB874</t>
        </is>
      </c>
      <c r="D16" t="n">
        <v>44</v>
      </c>
      <c r="E16" t="inlineStr">
        <is>
          <t>EFIL:E-filed Filing Fee</t>
        </is>
      </c>
      <c r="F16" t="inlineStr"/>
    </row>
    <row r="17">
      <c r="A17" t="inlineStr">
        <is>
          <t>Matthew A. Carlton</t>
        </is>
      </c>
      <c r="B17" t="inlineStr">
        <is>
          <t>Board of Trustees of North Kansas City Hospital d/b/a</t>
        </is>
      </c>
      <c r="C17" s="19" t="inlineStr">
        <is>
          <t>CIB874</t>
        </is>
      </c>
      <c r="D17" t="n">
        <v>70</v>
      </c>
      <c r="E17" t="inlineStr">
        <is>
          <t>ESPS:ACH Special Prcss Fee</t>
        </is>
      </c>
      <c r="F17" t="inlineStr"/>
    </row>
    <row r="18">
      <c r="A18" t="inlineStr">
        <is>
          <t>Chelsea A. Carpenter</t>
        </is>
      </c>
      <c r="B18" t="inlineStr">
        <is>
          <t>Board of Trustees of North Kansas City Hospital d/b/a</t>
        </is>
      </c>
      <c r="C18" s="19" t="inlineStr">
        <is>
          <t>CES168</t>
        </is>
      </c>
      <c r="D18" t="n">
        <v>10.5</v>
      </c>
      <c r="E18" t="inlineStr">
        <is>
          <t>EFIL:E-filed Filing Fee</t>
        </is>
      </c>
      <c r="F18" t="inlineStr">
        <is>
          <t>Court Fee</t>
        </is>
      </c>
    </row>
    <row r="19">
      <c r="A19" t="inlineStr">
        <is>
          <t>Chelsea A. Carpenter</t>
        </is>
      </c>
      <c r="B19" t="inlineStr">
        <is>
          <t>Board of Trustees of North Kansas City Hospital d/b/a</t>
        </is>
      </c>
      <c r="C19" s="19" t="inlineStr">
        <is>
          <t>CES168</t>
        </is>
      </c>
      <c r="D19" t="n">
        <v>46</v>
      </c>
      <c r="E19" t="inlineStr">
        <is>
          <t>SHFE:Sheriff's Fee</t>
        </is>
      </c>
      <c r="F19" t="inlineStr">
        <is>
          <t>gmt @ mr poe</t>
        </is>
      </c>
    </row>
    <row r="20">
      <c r="A20" t="inlineStr">
        <is>
          <t>Holly A. Carter</t>
        </is>
      </c>
      <c r="B20" t="inlineStr">
        <is>
          <t>Board of Trustees of North Kansas City Hospital d/b/a</t>
        </is>
      </c>
      <c r="C20" s="19" t="inlineStr">
        <is>
          <t>CHG695</t>
        </is>
      </c>
      <c r="D20" t="n">
        <v>34</v>
      </c>
      <c r="E20" t="inlineStr">
        <is>
          <t>EFIL:E-filed Filing Fee</t>
        </is>
      </c>
      <c r="F20" t="inlineStr"/>
    </row>
    <row r="21">
      <c r="A21" t="inlineStr">
        <is>
          <t>Holly A. Carter</t>
        </is>
      </c>
      <c r="B21" t="inlineStr">
        <is>
          <t>Board of Trustees of North Kansas City Hospital d/b/a</t>
        </is>
      </c>
      <c r="C21" s="19" t="inlineStr">
        <is>
          <t>CHG695</t>
        </is>
      </c>
      <c r="D21" t="n">
        <v>70</v>
      </c>
      <c r="E21" t="inlineStr">
        <is>
          <t>ESPS:ACH Special Prcss Fee</t>
        </is>
      </c>
      <c r="F21" t="inlineStr"/>
    </row>
    <row r="22">
      <c r="A22" t="inlineStr">
        <is>
          <t>Allyson M. Clark</t>
        </is>
      </c>
      <c r="B22" t="inlineStr">
        <is>
          <t>Board of Trustees of North Kansas City Hospital d/b/a</t>
        </is>
      </c>
      <c r="C22" s="19" t="inlineStr">
        <is>
          <t>CHX186</t>
        </is>
      </c>
      <c r="D22" t="n">
        <v>34</v>
      </c>
      <c r="E22" t="inlineStr">
        <is>
          <t>EFIL:E-filed Filing Fee</t>
        </is>
      </c>
      <c r="F22" t="inlineStr"/>
    </row>
    <row r="23">
      <c r="A23" t="inlineStr">
        <is>
          <t>Allyson M. Clark</t>
        </is>
      </c>
      <c r="B23" t="inlineStr">
        <is>
          <t>Board of Trustees of North Kansas City Hospital d/b/a</t>
        </is>
      </c>
      <c r="C23" s="19" t="inlineStr">
        <is>
          <t>CHX186</t>
        </is>
      </c>
      <c r="D23" t="n">
        <v>70</v>
      </c>
      <c r="E23" t="inlineStr">
        <is>
          <t>ESPS:ACH Special Prcss Fee</t>
        </is>
      </c>
      <c r="F23" t="inlineStr"/>
    </row>
    <row r="24">
      <c r="A24" t="inlineStr">
        <is>
          <t>Fancy M. Clickner</t>
        </is>
      </c>
      <c r="B24" t="inlineStr">
        <is>
          <t>Board of Trustees of North Kansas City Hospital d/b/a</t>
        </is>
      </c>
      <c r="C24" s="19" t="inlineStr">
        <is>
          <t>CGZ651</t>
        </is>
      </c>
      <c r="D24" t="n">
        <v>70</v>
      </c>
      <c r="E24" t="inlineStr">
        <is>
          <t>ESPS:ACH Special Prcss Fee</t>
        </is>
      </c>
      <c r="F24" t="inlineStr">
        <is>
          <t>alias</t>
        </is>
      </c>
    </row>
    <row r="25">
      <c r="A25" t="inlineStr">
        <is>
          <t>Fancy M. Clickner</t>
        </is>
      </c>
      <c r="B25" t="inlineStr">
        <is>
          <t>Board of Trustees of North Kansas City Hospital d/b/a</t>
        </is>
      </c>
      <c r="C25" s="19" t="inlineStr">
        <is>
          <t>CGZ651</t>
        </is>
      </c>
      <c r="D25" t="n">
        <v>10.5</v>
      </c>
      <c r="E25" t="inlineStr">
        <is>
          <t>ESHF:E-filed Sheriff's Fee</t>
        </is>
      </c>
      <c r="F25" t="inlineStr"/>
    </row>
    <row r="26">
      <c r="A26" t="inlineStr">
        <is>
          <t>Amy S. Cobb</t>
        </is>
      </c>
      <c r="B26" t="inlineStr">
        <is>
          <t>Board of Trustees of North Kansas City Hospital d/b/a</t>
        </is>
      </c>
      <c r="C26" s="19" t="inlineStr">
        <is>
          <t>CHX201</t>
        </is>
      </c>
      <c r="D26" t="n">
        <v>34</v>
      </c>
      <c r="E26" t="inlineStr">
        <is>
          <t>EFIL:E-filed Filing Fee</t>
        </is>
      </c>
      <c r="F26" t="inlineStr"/>
    </row>
    <row r="27">
      <c r="A27" t="inlineStr">
        <is>
          <t>Amy S. Cobb</t>
        </is>
      </c>
      <c r="B27" t="inlineStr">
        <is>
          <t>Board of Trustees of North Kansas City Hospital d/b/a</t>
        </is>
      </c>
      <c r="C27" s="19" t="inlineStr">
        <is>
          <t>CHX201</t>
        </is>
      </c>
      <c r="D27" t="n">
        <v>70</v>
      </c>
      <c r="E27" t="inlineStr">
        <is>
          <t>ESPS:ACH Special Prcss Fee</t>
        </is>
      </c>
      <c r="F27" t="inlineStr"/>
    </row>
    <row r="28">
      <c r="A28" t="inlineStr">
        <is>
          <t>Colette G. Cromer</t>
        </is>
      </c>
      <c r="B28" t="inlineStr">
        <is>
          <t>Board of Trustees of North Kansas City Hospital d/b/a</t>
        </is>
      </c>
      <c r="C28" s="19" t="inlineStr">
        <is>
          <t>CHU600</t>
        </is>
      </c>
      <c r="D28" t="n">
        <v>51</v>
      </c>
      <c r="E28" t="inlineStr">
        <is>
          <t>EFIL:E-filed Filing Fee</t>
        </is>
      </c>
      <c r="F28" t="inlineStr"/>
    </row>
    <row r="29">
      <c r="A29" t="inlineStr">
        <is>
          <t>Colette G. Cromer</t>
        </is>
      </c>
      <c r="B29" t="inlineStr">
        <is>
          <t>Board of Trustees of North Kansas City Hospital d/b/a</t>
        </is>
      </c>
      <c r="C29" s="19" t="inlineStr">
        <is>
          <t>CHU600</t>
        </is>
      </c>
      <c r="D29" t="n">
        <v>70</v>
      </c>
      <c r="E29" t="inlineStr">
        <is>
          <t>ESPS:ACH Special Prcss Fee</t>
        </is>
      </c>
      <c r="F29" t="inlineStr"/>
    </row>
    <row r="30">
      <c r="A30" t="inlineStr">
        <is>
          <t>Sean Curtis</t>
        </is>
      </c>
      <c r="B30" t="inlineStr">
        <is>
          <t>Board of Trustees of North Kansas City Hospital d/b/a</t>
        </is>
      </c>
      <c r="C30" s="19" t="inlineStr">
        <is>
          <t>CHU177</t>
        </is>
      </c>
      <c r="D30" t="n">
        <v>51</v>
      </c>
      <c r="E30" t="inlineStr">
        <is>
          <t>EFIL:E-filed Filing Fee</t>
        </is>
      </c>
      <c r="F30" t="inlineStr"/>
    </row>
    <row r="31">
      <c r="A31" t="inlineStr">
        <is>
          <t>Sean Curtis</t>
        </is>
      </c>
      <c r="B31" t="inlineStr">
        <is>
          <t>Board of Trustees of North Kansas City Hospital d/b/a</t>
        </is>
      </c>
      <c r="C31" s="19" t="inlineStr">
        <is>
          <t>CHU177</t>
        </is>
      </c>
      <c r="D31" t="n">
        <v>70</v>
      </c>
      <c r="E31" t="inlineStr">
        <is>
          <t>ESPS:ACH Special Prcss Fee</t>
        </is>
      </c>
      <c r="F31" t="inlineStr"/>
    </row>
    <row r="32">
      <c r="A32" t="inlineStr">
        <is>
          <t>Treanesha Dailey</t>
        </is>
      </c>
      <c r="B32" t="inlineStr">
        <is>
          <t>Board of Trustees of North Kansas City Hospital d/b/a</t>
        </is>
      </c>
      <c r="C32" s="19" t="inlineStr">
        <is>
          <t>DZ9219</t>
        </is>
      </c>
      <c r="D32" t="n">
        <v>70</v>
      </c>
      <c r="E32" t="inlineStr">
        <is>
          <t>ESPS:ACH Special Prcss Fee</t>
        </is>
      </c>
      <c r="F32" t="inlineStr">
        <is>
          <t>alias</t>
        </is>
      </c>
    </row>
    <row r="33">
      <c r="A33" t="inlineStr">
        <is>
          <t>Virginia A. Decker</t>
        </is>
      </c>
      <c r="B33" t="inlineStr">
        <is>
          <t>Board of Trustees of North Kansas City Hospital d/b/a</t>
        </is>
      </c>
      <c r="C33" s="19" t="inlineStr">
        <is>
          <t>DAA798</t>
        </is>
      </c>
      <c r="D33" t="n">
        <v>51</v>
      </c>
      <c r="E33" t="inlineStr">
        <is>
          <t>EFIL:E-filed Filing Fee</t>
        </is>
      </c>
      <c r="F33" t="inlineStr"/>
    </row>
    <row r="34">
      <c r="A34" t="inlineStr">
        <is>
          <t>Virginia A. Decker</t>
        </is>
      </c>
      <c r="B34" t="inlineStr">
        <is>
          <t>Board of Trustees of North Kansas City Hospital d/b/a</t>
        </is>
      </c>
      <c r="C34" s="19" t="inlineStr">
        <is>
          <t>DAA798</t>
        </is>
      </c>
      <c r="D34" t="n">
        <v>70</v>
      </c>
      <c r="E34" t="inlineStr">
        <is>
          <t>ESPS:ACH Special Prcss Fee</t>
        </is>
      </c>
      <c r="F34" t="inlineStr"/>
    </row>
    <row r="35">
      <c r="A35" t="inlineStr">
        <is>
          <t>Ana E. Delgado</t>
        </is>
      </c>
      <c r="B35" t="inlineStr">
        <is>
          <t>Board of Trustees of North Kansas City Hospital d/b/a</t>
        </is>
      </c>
      <c r="C35" s="19" t="inlineStr">
        <is>
          <t>DZ3018</t>
        </is>
      </c>
      <c r="D35" t="n">
        <v>63</v>
      </c>
      <c r="E35" t="inlineStr">
        <is>
          <t>EFIL:E-filed Filing Fee</t>
        </is>
      </c>
      <c r="F35" t="inlineStr"/>
    </row>
    <row r="36">
      <c r="A36" t="inlineStr">
        <is>
          <t>Ana E. Delgado</t>
        </is>
      </c>
      <c r="B36" t="inlineStr">
        <is>
          <t>Board of Trustees of North Kansas City Hospital d/b/a</t>
        </is>
      </c>
      <c r="C36" s="19" t="inlineStr">
        <is>
          <t>DZ3018</t>
        </is>
      </c>
      <c r="D36" t="n">
        <v>70</v>
      </c>
      <c r="E36" t="inlineStr">
        <is>
          <t>ESPS:ACH Special Prcss Fee</t>
        </is>
      </c>
      <c r="F36" t="inlineStr"/>
    </row>
    <row r="37">
      <c r="A37" t="inlineStr">
        <is>
          <t>Michelle D. Dickey</t>
        </is>
      </c>
      <c r="B37" t="inlineStr">
        <is>
          <t>Board of Trustees of North Kansas City Hospital d/b/a</t>
        </is>
      </c>
      <c r="C37" s="19" t="inlineStr">
        <is>
          <t>DW7442</t>
        </is>
      </c>
      <c r="D37" t="n">
        <v>10.5</v>
      </c>
      <c r="E37" t="inlineStr">
        <is>
          <t>EFIL:E-filed Filing Fee</t>
        </is>
      </c>
      <c r="F37" t="inlineStr">
        <is>
          <t>Court Fee</t>
        </is>
      </c>
    </row>
    <row r="38">
      <c r="A38" t="inlineStr">
        <is>
          <t>Michelle D. Dickey</t>
        </is>
      </c>
      <c r="B38" t="inlineStr">
        <is>
          <t>Board of Trustees of North Kansas City Hospital d/b/a</t>
        </is>
      </c>
      <c r="C38" s="19" t="inlineStr">
        <is>
          <t>DW7442</t>
        </is>
      </c>
      <c r="D38" t="n">
        <v>50</v>
      </c>
      <c r="E38" t="inlineStr">
        <is>
          <t>SHFE:Sheriff's Fee</t>
        </is>
      </c>
      <c r="F38" t="inlineStr">
        <is>
          <t>gmt @ mr poe</t>
        </is>
      </c>
    </row>
    <row r="39">
      <c r="A39" t="inlineStr">
        <is>
          <t>Heather Downey</t>
        </is>
      </c>
      <c r="B39" t="inlineStr">
        <is>
          <t>Board of Trustees of North Kansas City Hospital d/b/a</t>
        </is>
      </c>
      <c r="C39" s="19" t="inlineStr">
        <is>
          <t>DZ1592</t>
        </is>
      </c>
      <c r="D39" t="n">
        <v>51</v>
      </c>
      <c r="E39" t="inlineStr">
        <is>
          <t>EFIL:E-filed Filing Fee</t>
        </is>
      </c>
      <c r="F39" t="inlineStr"/>
    </row>
    <row r="40">
      <c r="A40" t="inlineStr">
        <is>
          <t>Heather Downey</t>
        </is>
      </c>
      <c r="B40" t="inlineStr">
        <is>
          <t>Board of Trustees of North Kansas City Hospital d/b/a</t>
        </is>
      </c>
      <c r="C40" s="19" t="inlineStr">
        <is>
          <t>DZ1592</t>
        </is>
      </c>
      <c r="D40" t="n">
        <v>70</v>
      </c>
      <c r="E40" t="inlineStr">
        <is>
          <t>ESPS:ACH Special Prcss Fee</t>
        </is>
      </c>
      <c r="F40" t="inlineStr"/>
    </row>
    <row r="41">
      <c r="A41" t="inlineStr">
        <is>
          <t>Joseph F. Essenhofer</t>
        </is>
      </c>
      <c r="B41" t="inlineStr">
        <is>
          <t>Board of Trustees of North Kansas City Hospital d/b/a</t>
        </is>
      </c>
      <c r="C41" s="19" t="inlineStr">
        <is>
          <t>EG0987</t>
        </is>
      </c>
      <c r="D41" t="n">
        <v>34</v>
      </c>
      <c r="E41" t="inlineStr">
        <is>
          <t>EFIL:E-filed Filing Fee</t>
        </is>
      </c>
      <c r="F41" t="inlineStr"/>
    </row>
    <row r="42">
      <c r="A42" t="inlineStr">
        <is>
          <t>Joseph F. Essenhofer</t>
        </is>
      </c>
      <c r="B42" t="inlineStr">
        <is>
          <t>Board of Trustees of North Kansas City Hospital d/b/a</t>
        </is>
      </c>
      <c r="C42" s="19" t="inlineStr">
        <is>
          <t>EG0987</t>
        </is>
      </c>
      <c r="D42" t="n">
        <v>70</v>
      </c>
      <c r="E42" t="inlineStr">
        <is>
          <t>ESPS:ACH Special Prcss Fee</t>
        </is>
      </c>
      <c r="F42" t="inlineStr"/>
    </row>
    <row r="43">
      <c r="A43" t="inlineStr">
        <is>
          <t>Chris J. Fejfar</t>
        </is>
      </c>
      <c r="B43" t="inlineStr">
        <is>
          <t>Board of Trustees of North Kansas City Hospital d/b/a</t>
        </is>
      </c>
      <c r="C43" s="19" t="inlineStr">
        <is>
          <t>FM5793</t>
        </is>
      </c>
      <c r="D43" t="n">
        <v>34</v>
      </c>
      <c r="E43" t="inlineStr">
        <is>
          <t>EFIL:E-filed Filing Fee</t>
        </is>
      </c>
      <c r="F43" t="inlineStr"/>
    </row>
    <row r="44">
      <c r="A44" t="inlineStr">
        <is>
          <t>Chris J. Fejfar</t>
        </is>
      </c>
      <c r="B44" t="inlineStr">
        <is>
          <t>Board of Trustees of North Kansas City Hospital d/b/a</t>
        </is>
      </c>
      <c r="C44" s="19" t="inlineStr">
        <is>
          <t>FM5793</t>
        </is>
      </c>
      <c r="D44" t="n">
        <v>70</v>
      </c>
      <c r="E44" t="inlineStr">
        <is>
          <t>ESPS:ACH Special Prcss Fee</t>
        </is>
      </c>
      <c r="F44" t="inlineStr"/>
    </row>
    <row r="45">
      <c r="A45" t="inlineStr">
        <is>
          <t>Kimberly R. Filger</t>
        </is>
      </c>
      <c r="B45" t="inlineStr">
        <is>
          <t>Board of Trustees of North Kansas City Hospital d/b/a</t>
        </is>
      </c>
      <c r="C45" s="19" t="inlineStr">
        <is>
          <t>FP5706</t>
        </is>
      </c>
      <c r="D45" t="n">
        <v>34</v>
      </c>
      <c r="E45" t="inlineStr">
        <is>
          <t>EFIL:E-filed Filing Fee</t>
        </is>
      </c>
      <c r="F45" t="inlineStr"/>
    </row>
    <row r="46">
      <c r="A46" t="inlineStr">
        <is>
          <t>Kimberly R. Filger</t>
        </is>
      </c>
      <c r="B46" t="inlineStr">
        <is>
          <t>Board of Trustees of North Kansas City Hospital d/b/a</t>
        </is>
      </c>
      <c r="C46" s="19" t="inlineStr">
        <is>
          <t>FP5706</t>
        </is>
      </c>
      <c r="D46" t="n">
        <v>70</v>
      </c>
      <c r="E46" t="inlineStr">
        <is>
          <t>ESPS:ACH Special Prcss Fee</t>
        </is>
      </c>
      <c r="F46" t="inlineStr"/>
    </row>
    <row r="47">
      <c r="A47" t="inlineStr">
        <is>
          <t>Nidia Fraustro</t>
        </is>
      </c>
      <c r="B47" t="inlineStr">
        <is>
          <t>Board of Trustees of North Kansas City Hospital d/b/a</t>
        </is>
      </c>
      <c r="C47" s="19" t="inlineStr">
        <is>
          <t>FN2504</t>
        </is>
      </c>
      <c r="D47" t="n">
        <v>70</v>
      </c>
      <c r="E47" t="inlineStr">
        <is>
          <t>ESPS:ACH Special Prcss Fee</t>
        </is>
      </c>
      <c r="F47" t="inlineStr">
        <is>
          <t>alias</t>
        </is>
      </c>
    </row>
    <row r="48">
      <c r="A48" t="inlineStr">
        <is>
          <t>Peggy Gorenflo</t>
        </is>
      </c>
      <c r="B48" t="inlineStr">
        <is>
          <t>Board of Trustees of North Kansas City Hospital d/b/a</t>
        </is>
      </c>
      <c r="C48" s="19" t="inlineStr">
        <is>
          <t>GAO534</t>
        </is>
      </c>
      <c r="D48" t="n">
        <v>34</v>
      </c>
      <c r="E48" t="inlineStr">
        <is>
          <t>EFIL:E-filed Filing Fee</t>
        </is>
      </c>
      <c r="F48" t="inlineStr"/>
    </row>
    <row r="49">
      <c r="A49" t="inlineStr">
        <is>
          <t>Peggy Gorenflo</t>
        </is>
      </c>
      <c r="B49" t="inlineStr">
        <is>
          <t>Board of Trustees of North Kansas City Hospital d/b/a</t>
        </is>
      </c>
      <c r="C49" s="19" t="inlineStr">
        <is>
          <t>GAO534</t>
        </is>
      </c>
      <c r="D49" t="n">
        <v>70</v>
      </c>
      <c r="E49" t="inlineStr">
        <is>
          <t>ESPS:ACH Special Prcss Fee</t>
        </is>
      </c>
      <c r="F49" t="inlineStr"/>
    </row>
    <row r="50">
      <c r="A50" t="inlineStr">
        <is>
          <t>Jason Guhr</t>
        </is>
      </c>
      <c r="B50" t="inlineStr">
        <is>
          <t>Board of Trustees of North Kansas City Hospital d/b/a</t>
        </is>
      </c>
      <c r="C50" s="19" t="inlineStr">
        <is>
          <t>GAE795</t>
        </is>
      </c>
      <c r="D50" t="n">
        <v>10.5</v>
      </c>
      <c r="E50" t="inlineStr">
        <is>
          <t>EFIL:E-filed Filing Fee</t>
        </is>
      </c>
      <c r="F50" t="inlineStr">
        <is>
          <t>Court Fee</t>
        </is>
      </c>
    </row>
    <row r="51">
      <c r="A51" t="inlineStr">
        <is>
          <t>Jason Guhr</t>
        </is>
      </c>
      <c r="B51" t="inlineStr">
        <is>
          <t>Board of Trustees of North Kansas City Hospital d/b/a</t>
        </is>
      </c>
      <c r="C51" s="19" t="inlineStr">
        <is>
          <t>GAE795</t>
        </is>
      </c>
      <c r="D51" t="n">
        <v>46</v>
      </c>
      <c r="E51" t="inlineStr">
        <is>
          <t>SHFE:Sheriff's Fee</t>
        </is>
      </c>
      <c r="F51" t="inlineStr">
        <is>
          <t>gmt @ mr poe</t>
        </is>
      </c>
    </row>
    <row r="52">
      <c r="A52" t="inlineStr">
        <is>
          <t>Jennifer K. Harkless</t>
        </is>
      </c>
      <c r="B52" t="inlineStr">
        <is>
          <t>Board of Trustees of North Kansas City Hospital d/b/a</t>
        </is>
      </c>
      <c r="C52" s="19" t="inlineStr">
        <is>
          <t>HKH472</t>
        </is>
      </c>
      <c r="D52" t="n">
        <v>70</v>
      </c>
      <c r="E52" t="inlineStr">
        <is>
          <t>ESPS:ACH Special Prcss Fee</t>
        </is>
      </c>
      <c r="F52" t="inlineStr">
        <is>
          <t>alias</t>
        </is>
      </c>
    </row>
    <row r="53">
      <c r="A53" t="inlineStr">
        <is>
          <t>Mycah Houston</t>
        </is>
      </c>
      <c r="B53" t="inlineStr">
        <is>
          <t>Board of Trustees of North Kansas City Hospital d/b/a</t>
        </is>
      </c>
      <c r="C53" s="19" t="inlineStr">
        <is>
          <t>HLB596</t>
        </is>
      </c>
      <c r="D53" t="n">
        <v>34</v>
      </c>
      <c r="E53" t="inlineStr">
        <is>
          <t>EFIL:E-filed Filing Fee</t>
        </is>
      </c>
      <c r="F53" t="inlineStr"/>
    </row>
    <row r="54">
      <c r="A54" t="inlineStr">
        <is>
          <t>Mycah Houston</t>
        </is>
      </c>
      <c r="B54" t="inlineStr">
        <is>
          <t>Board of Trustees of North Kansas City Hospital d/b/a</t>
        </is>
      </c>
      <c r="C54" s="19" t="inlineStr">
        <is>
          <t>HLB596</t>
        </is>
      </c>
      <c r="D54" t="n">
        <v>70</v>
      </c>
      <c r="E54" t="inlineStr">
        <is>
          <t>ESPS:ACH Special Prcss Fee</t>
        </is>
      </c>
      <c r="F54" t="inlineStr"/>
    </row>
    <row r="55">
      <c r="A55" t="inlineStr">
        <is>
          <t>Heather A. Hower</t>
        </is>
      </c>
      <c r="B55" t="inlineStr">
        <is>
          <t>Board of Trustees of North Kansas City Hospital d/b/a</t>
        </is>
      </c>
      <c r="C55" s="19" t="inlineStr">
        <is>
          <t>HKU494</t>
        </is>
      </c>
      <c r="D55" t="n">
        <v>34</v>
      </c>
      <c r="E55" t="inlineStr">
        <is>
          <t>EFIL:E-filed Filing Fee</t>
        </is>
      </c>
      <c r="F55" t="inlineStr"/>
    </row>
    <row r="56">
      <c r="A56" t="inlineStr">
        <is>
          <t>Heather A. Hower</t>
        </is>
      </c>
      <c r="B56" t="inlineStr">
        <is>
          <t>Board of Trustees of North Kansas City Hospital d/b/a</t>
        </is>
      </c>
      <c r="C56" s="19" t="inlineStr">
        <is>
          <t>HKU494</t>
        </is>
      </c>
      <c r="D56" t="n">
        <v>70</v>
      </c>
      <c r="E56" t="inlineStr">
        <is>
          <t>ESPS:ACH Special Prcss Fee</t>
        </is>
      </c>
      <c r="F56" t="inlineStr"/>
    </row>
    <row r="57">
      <c r="A57" t="inlineStr">
        <is>
          <t>Stephanie D. Kerr</t>
        </is>
      </c>
      <c r="B57" t="inlineStr">
        <is>
          <t>Board of Trustees of North Kansas City Hospital d/b/a</t>
        </is>
      </c>
      <c r="C57" s="19" t="inlineStr">
        <is>
          <t>KP2023</t>
        </is>
      </c>
      <c r="D57" t="n">
        <v>51</v>
      </c>
      <c r="E57" t="inlineStr">
        <is>
          <t>EFIL:E-filed Filing Fee</t>
        </is>
      </c>
      <c r="F57" t="inlineStr"/>
    </row>
    <row r="58">
      <c r="A58" t="inlineStr">
        <is>
          <t>Stephanie D. Kerr</t>
        </is>
      </c>
      <c r="B58" t="inlineStr">
        <is>
          <t>Board of Trustees of North Kansas City Hospital d/b/a</t>
        </is>
      </c>
      <c r="C58" s="19" t="inlineStr">
        <is>
          <t>KP2023</t>
        </is>
      </c>
      <c r="D58" t="n">
        <v>70</v>
      </c>
      <c r="E58" t="inlineStr">
        <is>
          <t>ESPS:ACH Special Prcss Fee</t>
        </is>
      </c>
      <c r="F58" t="inlineStr"/>
    </row>
    <row r="59">
      <c r="A59" t="inlineStr">
        <is>
          <t>Sarah A. Tovar</t>
        </is>
      </c>
      <c r="B59" t="inlineStr">
        <is>
          <t>Board of Trustees of North Kansas City Hospital d/b/a</t>
        </is>
      </c>
      <c r="C59" s="19" t="inlineStr">
        <is>
          <t>TK2846</t>
        </is>
      </c>
      <c r="D59" t="n">
        <v>34</v>
      </c>
      <c r="E59" t="inlineStr">
        <is>
          <t>EFIL:E-filed Filing Fee</t>
        </is>
      </c>
      <c r="F59" t="inlineStr"/>
    </row>
    <row r="60">
      <c r="A60" t="inlineStr">
        <is>
          <t>Sarah A. Tovar</t>
        </is>
      </c>
      <c r="B60" t="inlineStr">
        <is>
          <t>Board of Trustees of North Kansas City Hospital d/b/a</t>
        </is>
      </c>
      <c r="C60" s="19" t="inlineStr">
        <is>
          <t>TK2846</t>
        </is>
      </c>
      <c r="D60" t="n">
        <v>70</v>
      </c>
      <c r="E60" t="inlineStr">
        <is>
          <t>ESPS:ACH Special Prcss Fee</t>
        </is>
      </c>
      <c r="F60" t="inlineStr"/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C11" sqref="C11"/>
    </sheetView>
  </sheetViews>
  <sheetFormatPr baseColWidth="8" defaultRowHeight="15"/>
  <cols>
    <col width="38.5703125" customWidth="1" min="1" max="1"/>
    <col width="25.5703125" customWidth="1" min="2" max="2"/>
    <col width="21.5703125" customWidth="1" min="3" max="3"/>
    <col width="16.140625" customWidth="1" style="89" min="4" max="4"/>
    <col width="17" customWidth="1" style="89" min="5" max="5"/>
    <col width="19.28515625" customWidth="1" style="89" min="6" max="6"/>
    <col width="20.140625" customWidth="1" style="89" min="7" max="7"/>
    <col width="20.42578125" customWidth="1" style="89" min="8" max="8"/>
    <col width="13.85546875" customWidth="1" style="89" min="9" max="9"/>
  </cols>
  <sheetData>
    <row r="1">
      <c r="A1" s="75" t="inlineStr">
        <is>
          <t>NKC HEALTH PAYMENT SHEET</t>
        </is>
      </c>
    </row>
    <row r="2">
      <c r="A2" s="75" t="inlineStr">
        <is>
          <t>Payments Through 10-19-2026</t>
        </is>
      </c>
    </row>
    <row r="4">
      <c r="G4" s="92" t="n">
        <v>0.25</v>
      </c>
      <c r="H4" s="92" t="n">
        <v>0.75</v>
      </c>
    </row>
    <row r="5">
      <c r="C5" t="inlineStr">
        <is>
          <t>Total</t>
        </is>
      </c>
      <c r="D5" s="89">
        <f>SUM(D8:D65000)</f>
        <v/>
      </c>
      <c r="E5" s="89">
        <f>SUM(E8:E65000)</f>
        <v/>
      </c>
      <c r="F5" s="89">
        <f>SUM(F8:F65000)</f>
        <v/>
      </c>
      <c r="G5" s="89">
        <f>SUM(G8:G65000)</f>
        <v/>
      </c>
      <c r="H5" s="89">
        <f>SUM(H8:H65000)</f>
        <v/>
      </c>
      <c r="I5" s="89">
        <f>SUM(I8:I65000)</f>
        <v/>
      </c>
    </row>
    <row r="7">
      <c r="A7" s="71" t="inlineStr">
        <is>
          <t>DEFENDANT'S NAME</t>
        </is>
      </c>
      <c r="B7" s="71" t="inlineStr">
        <is>
          <t>PLAINTIFF</t>
        </is>
      </c>
      <c r="C7" s="73" t="inlineStr">
        <is>
          <t>REF NO.</t>
        </is>
      </c>
      <c r="D7" s="91" t="inlineStr">
        <is>
          <t xml:space="preserve"> TOTAL PAYMENT </t>
        </is>
      </c>
      <c r="E7" s="91" t="n"/>
      <c r="F7" s="91" t="inlineStr">
        <is>
          <t xml:space="preserve"> COSTS
RETURNED </t>
        </is>
      </c>
      <c r="G7" s="91" t="inlineStr">
        <is>
          <t xml:space="preserve"> CLIENT
SHARE </t>
        </is>
      </c>
      <c r="H7" s="91" t="inlineStr">
        <is>
          <t xml:space="preserve"> BW, LLP SHARE </t>
        </is>
      </c>
      <c r="I7" s="91" t="inlineStr">
        <is>
          <t>BW, LLP INTEREST</t>
        </is>
      </c>
      <c r="J7" s="73" t="inlineStr">
        <is>
          <t>Notes</t>
        </is>
      </c>
      <c r="K7" s="74" t="n"/>
      <c r="L7" s="11" t="n"/>
    </row>
    <row r="8" ht="26.25" customHeight="1">
      <c r="E8" s="91" t="inlineStr">
        <is>
          <t xml:space="preserve"> APPLIED TO PRIN </t>
        </is>
      </c>
      <c r="L8" s="11" t="n"/>
    </row>
    <row r="9">
      <c r="A9" s="11" t="inlineStr">
        <is>
          <t>Jennifer Adams</t>
        </is>
      </c>
      <c r="B9" s="11" t="inlineStr">
        <is>
          <t>Board of Trustees of North Kansas City Hospital d/b/a</t>
        </is>
      </c>
      <c r="C9" s="11" t="inlineStr">
        <is>
          <t>AK9273</t>
        </is>
      </c>
      <c r="D9" s="93" t="n">
        <v>378.2</v>
      </c>
      <c r="E9" s="93" t="n">
        <v>378.2</v>
      </c>
      <c r="F9" s="93" t="n">
        <v>0</v>
      </c>
      <c r="G9" s="93" t="n">
        <v>94.55</v>
      </c>
      <c r="H9" s="93" t="n">
        <v>283.65</v>
      </c>
      <c r="I9" s="93" t="n">
        <v>0</v>
      </c>
      <c r="J9" s="11" t="inlineStr"/>
      <c r="K9" s="11" t="n"/>
      <c r="L9" s="11" t="n"/>
    </row>
    <row r="10">
      <c r="A10" s="11" t="inlineStr">
        <is>
          <t>Julian J. Aguilar</t>
        </is>
      </c>
      <c r="B10" s="11" t="inlineStr">
        <is>
          <t>Board of Trustees of North Kansas City Hospital d/b/a</t>
        </is>
      </c>
      <c r="C10" s="11" t="inlineStr">
        <is>
          <t>AN9293</t>
        </is>
      </c>
      <c r="D10" s="93" t="n">
        <v>100</v>
      </c>
      <c r="E10" s="93" t="n">
        <v>100</v>
      </c>
      <c r="F10" s="93" t="n">
        <v>0</v>
      </c>
      <c r="G10" s="93" t="n">
        <v>25</v>
      </c>
      <c r="H10" s="93" t="n">
        <v>75</v>
      </c>
      <c r="I10" s="93" t="n">
        <v>0</v>
      </c>
      <c r="J10" s="11" t="inlineStr"/>
      <c r="K10" s="11" t="n"/>
      <c r="L10" s="11" t="n"/>
    </row>
    <row r="11">
      <c r="A11" s="11" t="inlineStr">
        <is>
          <t>Martha N Akurkuch</t>
        </is>
      </c>
      <c r="B11" s="11" t="inlineStr">
        <is>
          <t>Board of Trustees of North Kansas City Hospital d/b/a</t>
        </is>
      </c>
      <c r="C11" s="11" t="inlineStr">
        <is>
          <t>AL9524</t>
        </is>
      </c>
      <c r="D11" s="93" t="n">
        <v>307.15</v>
      </c>
      <c r="E11" s="93" t="n">
        <v>176.28</v>
      </c>
      <c r="F11" s="93" t="n">
        <v>0</v>
      </c>
      <c r="G11" s="93" t="n">
        <v>44.07</v>
      </c>
      <c r="H11" s="93" t="n">
        <v>132.21</v>
      </c>
      <c r="I11" s="93" t="n">
        <v>130.87</v>
      </c>
      <c r="J11" s="11" t="inlineStr"/>
      <c r="K11" s="11" t="n"/>
      <c r="L11" s="11" t="n"/>
    </row>
    <row r="12">
      <c r="A12" s="11" t="inlineStr">
        <is>
          <t>Brandee L. Alexander</t>
        </is>
      </c>
      <c r="B12" s="11" t="inlineStr">
        <is>
          <t>The Board of Trustees of North Kansas City Hospital</t>
        </is>
      </c>
      <c r="C12" s="11" t="inlineStr">
        <is>
          <t>AL5635</t>
        </is>
      </c>
      <c r="D12" s="93" t="n">
        <v>200</v>
      </c>
      <c r="E12" s="93" t="n">
        <v>200</v>
      </c>
      <c r="F12" s="93" t="n">
        <v>0</v>
      </c>
      <c r="G12" s="93" t="n">
        <v>50</v>
      </c>
      <c r="H12" s="93" t="n">
        <v>150</v>
      </c>
      <c r="I12" s="93" t="n">
        <v>0</v>
      </c>
      <c r="J12" s="11" t="inlineStr"/>
      <c r="K12" s="11" t="n"/>
      <c r="L12" s="11" t="n"/>
    </row>
    <row r="13">
      <c r="A13" s="11" t="inlineStr">
        <is>
          <t>Dalton R. Allen</t>
        </is>
      </c>
      <c r="B13" s="11" t="inlineStr">
        <is>
          <t>Board of Trustees of North Kansas City Hospital d/b/a</t>
        </is>
      </c>
      <c r="C13" s="11" t="inlineStr">
        <is>
          <t>AN8664</t>
        </is>
      </c>
      <c r="D13" s="93" t="n">
        <v>394.1</v>
      </c>
      <c r="E13" s="93" t="n">
        <v>204.6</v>
      </c>
      <c r="F13" s="93" t="n">
        <v>189.5</v>
      </c>
      <c r="G13" s="93" t="n">
        <v>51.15</v>
      </c>
      <c r="H13" s="93" t="n">
        <v>153.45</v>
      </c>
      <c r="I13" s="93" t="n">
        <v>0</v>
      </c>
      <c r="J13" s="11" t="inlineStr"/>
      <c r="K13" s="11" t="n"/>
      <c r="L13" s="11" t="n"/>
    </row>
    <row r="14">
      <c r="A14" s="11" t="inlineStr">
        <is>
          <t>Emily A. Appleby</t>
        </is>
      </c>
      <c r="B14" s="11" t="inlineStr">
        <is>
          <t>Board of Trustees of North Kansas City Hospital d/b/a</t>
        </is>
      </c>
      <c r="C14" s="11" t="inlineStr">
        <is>
          <t>AN5293</t>
        </is>
      </c>
      <c r="D14" s="93" t="n">
        <v>219.31</v>
      </c>
      <c r="E14" s="93" t="n">
        <v>64.81</v>
      </c>
      <c r="F14" s="93" t="n">
        <v>154.5</v>
      </c>
      <c r="G14" s="93" t="n">
        <v>16.2</v>
      </c>
      <c r="H14" s="93" t="n">
        <v>48.61</v>
      </c>
      <c r="I14" s="93" t="n">
        <v>0</v>
      </c>
      <c r="J14" s="11" t="inlineStr"/>
    </row>
    <row r="15">
      <c r="A15" s="11" t="inlineStr">
        <is>
          <t>Roseline U. Awulonu</t>
        </is>
      </c>
      <c r="B15" s="11" t="inlineStr">
        <is>
          <t>The Board of Trustees of North Kansas City Hospital</t>
        </is>
      </c>
      <c r="C15" s="11" t="inlineStr">
        <is>
          <t>AK7403</t>
        </is>
      </c>
      <c r="D15" s="93" t="n">
        <v>50</v>
      </c>
      <c r="E15" s="93" t="n">
        <v>50</v>
      </c>
      <c r="F15" s="93" t="n">
        <v>0</v>
      </c>
      <c r="G15" s="93" t="n">
        <v>12.5</v>
      </c>
      <c r="H15" s="93" t="n">
        <v>37.5</v>
      </c>
      <c r="I15" s="93" t="n">
        <v>0</v>
      </c>
      <c r="J15" s="11" t="inlineStr"/>
    </row>
    <row r="16">
      <c r="A16" s="11" t="inlineStr">
        <is>
          <t>Samantha Bates</t>
        </is>
      </c>
      <c r="B16" s="11" t="inlineStr">
        <is>
          <t>Board of Trustees of North Kansas City Hospital d/b/a</t>
        </is>
      </c>
      <c r="C16" s="11" t="inlineStr">
        <is>
          <t>BNU977</t>
        </is>
      </c>
      <c r="D16" s="93" t="n">
        <v>200</v>
      </c>
      <c r="E16" s="93" t="n">
        <v>46</v>
      </c>
      <c r="F16" s="93" t="n">
        <v>154</v>
      </c>
      <c r="G16" s="93" t="n">
        <v>11.5</v>
      </c>
      <c r="H16" s="93" t="n">
        <v>34.5</v>
      </c>
      <c r="I16" s="93" t="n">
        <v>0</v>
      </c>
      <c r="J16" s="11" t="inlineStr"/>
    </row>
    <row r="17">
      <c r="A17" s="11" t="inlineStr">
        <is>
          <t>Mouneqe C. Bean</t>
        </is>
      </c>
      <c r="B17" s="11" t="inlineStr">
        <is>
          <t>Board of Trustees of North Kansas City Hospital d/b/a</t>
        </is>
      </c>
      <c r="C17" s="11" t="inlineStr">
        <is>
          <t>BNU061</t>
        </is>
      </c>
      <c r="D17" s="93" t="n">
        <v>150</v>
      </c>
      <c r="E17" s="93" t="n">
        <v>150</v>
      </c>
      <c r="F17" s="93" t="n">
        <v>0</v>
      </c>
      <c r="G17" s="93" t="n">
        <v>37.5</v>
      </c>
      <c r="H17" s="93" t="n">
        <v>112.5</v>
      </c>
      <c r="I17" s="93" t="n">
        <v>0</v>
      </c>
      <c r="J17" s="11" t="inlineStr"/>
    </row>
    <row r="18">
      <c r="A18" s="11" t="inlineStr">
        <is>
          <t>Eric C. Black</t>
        </is>
      </c>
      <c r="B18" s="11" t="inlineStr">
        <is>
          <t>Board of Trustees of North Kansas City Hospital d/b/a</t>
        </is>
      </c>
      <c r="C18" s="11" t="inlineStr">
        <is>
          <t>BNC643</t>
        </is>
      </c>
      <c r="D18" s="93" t="n">
        <v>1065.39</v>
      </c>
      <c r="E18" s="93" t="n">
        <v>871.89</v>
      </c>
      <c r="F18" s="93" t="n">
        <v>193.5</v>
      </c>
      <c r="G18" s="93" t="n">
        <v>217.97</v>
      </c>
      <c r="H18" s="93" t="n">
        <v>653.92</v>
      </c>
      <c r="I18" s="93" t="n">
        <v>0</v>
      </c>
      <c r="J18" s="11" t="inlineStr"/>
    </row>
    <row r="19">
      <c r="A19" s="11" t="inlineStr">
        <is>
          <t>Heather M Bootka</t>
        </is>
      </c>
      <c r="B19" s="11" t="inlineStr">
        <is>
          <t>Board of Trustees of North Kansas City Hospital d/b/a</t>
        </is>
      </c>
      <c r="C19" s="11" t="inlineStr">
        <is>
          <t>BIM610</t>
        </is>
      </c>
      <c r="D19" s="93" t="n">
        <v>100</v>
      </c>
      <c r="E19" s="93" t="n">
        <v>100</v>
      </c>
      <c r="F19" s="93" t="n">
        <v>0</v>
      </c>
      <c r="G19" s="93" t="n">
        <v>25</v>
      </c>
      <c r="H19" s="93" t="n">
        <v>75</v>
      </c>
      <c r="I19" s="93" t="n">
        <v>0</v>
      </c>
      <c r="J19" s="11" t="inlineStr"/>
    </row>
    <row r="20">
      <c r="A20" s="11" t="inlineStr">
        <is>
          <t>Barbara E Brown</t>
        </is>
      </c>
      <c r="B20" s="11" t="inlineStr">
        <is>
          <t>Board of Trustees of North Kansas City Hospital d/b/a</t>
        </is>
      </c>
      <c r="C20" s="11" t="inlineStr">
        <is>
          <t>BKI092</t>
        </is>
      </c>
      <c r="D20" s="93" t="n">
        <v>100</v>
      </c>
      <c r="E20" s="93" t="n">
        <v>100</v>
      </c>
      <c r="F20" s="93" t="n">
        <v>0</v>
      </c>
      <c r="G20" s="93" t="n">
        <v>25</v>
      </c>
      <c r="H20" s="93" t="n">
        <v>75</v>
      </c>
      <c r="I20" s="93" t="n">
        <v>0</v>
      </c>
      <c r="J20" s="11" t="inlineStr"/>
    </row>
    <row r="21">
      <c r="A21" s="11" t="inlineStr">
        <is>
          <t>Jordan Brown</t>
        </is>
      </c>
      <c r="B21" s="11" t="inlineStr">
        <is>
          <t>Board of Trustees of North Kansas City Hospital d/b/a</t>
        </is>
      </c>
      <c r="C21" s="11" t="inlineStr">
        <is>
          <t>BJQ602</t>
        </is>
      </c>
      <c r="D21" s="93" t="n">
        <v>150</v>
      </c>
      <c r="E21" s="93" t="n">
        <v>150</v>
      </c>
      <c r="F21" s="93" t="n">
        <v>0</v>
      </c>
      <c r="G21" s="93" t="n">
        <v>37.5</v>
      </c>
      <c r="H21" s="93" t="n">
        <v>112.5</v>
      </c>
      <c r="I21" s="93" t="n">
        <v>0</v>
      </c>
      <c r="J21" s="11" t="inlineStr"/>
    </row>
    <row r="22">
      <c r="A22" s="11" t="inlineStr">
        <is>
          <t>Rochanda Buckner</t>
        </is>
      </c>
      <c r="B22" s="11" t="inlineStr">
        <is>
          <t>Board of Trustees of North Kansas City Hospital d/b/a</t>
        </is>
      </c>
      <c r="C22" s="11" t="inlineStr">
        <is>
          <t>BJS746</t>
        </is>
      </c>
      <c r="D22" s="93" t="n">
        <v>200</v>
      </c>
      <c r="E22" s="93" t="n">
        <v>200</v>
      </c>
      <c r="F22" s="93" t="n">
        <v>0</v>
      </c>
      <c r="G22" s="93" t="n">
        <v>50</v>
      </c>
      <c r="H22" s="93" t="n">
        <v>150</v>
      </c>
      <c r="I22" s="93" t="n">
        <v>0</v>
      </c>
      <c r="J22" s="11" t="inlineStr"/>
    </row>
    <row r="23">
      <c r="A23" s="11" t="inlineStr">
        <is>
          <t>Angy Bullin</t>
        </is>
      </c>
      <c r="B23" s="11" t="inlineStr">
        <is>
          <t>Board of Trustees of North Kansas City Hospital d/b/a</t>
        </is>
      </c>
      <c r="C23" s="11" t="inlineStr">
        <is>
          <t>BKR041</t>
        </is>
      </c>
      <c r="D23" s="93" t="n">
        <v>518.46</v>
      </c>
      <c r="E23" s="93" t="n">
        <v>518.46</v>
      </c>
      <c r="F23" s="93" t="n">
        <v>0</v>
      </c>
      <c r="G23" s="93" t="n">
        <v>129.62</v>
      </c>
      <c r="H23" s="93" t="n">
        <v>388.84</v>
      </c>
      <c r="I23" s="93" t="n">
        <v>0</v>
      </c>
      <c r="J23" s="11" t="inlineStr"/>
    </row>
    <row r="24">
      <c r="A24" s="11" t="inlineStr">
        <is>
          <t>Lisa M. Campbell</t>
        </is>
      </c>
      <c r="B24" s="11" t="inlineStr">
        <is>
          <t>Board of Trustees of North Kansas City Hospital d/b/a</t>
        </is>
      </c>
      <c r="C24" s="11" t="inlineStr">
        <is>
          <t>CET948</t>
        </is>
      </c>
      <c r="D24" s="93" t="n">
        <v>971.27</v>
      </c>
      <c r="E24" s="93" t="n">
        <v>793.77</v>
      </c>
      <c r="F24" s="93" t="n">
        <v>177.5</v>
      </c>
      <c r="G24" s="93" t="n">
        <v>198.44</v>
      </c>
      <c r="H24" s="93" t="n">
        <v>595.33</v>
      </c>
      <c r="I24" s="93" t="n">
        <v>0</v>
      </c>
      <c r="J24" s="11" t="inlineStr"/>
    </row>
    <row r="25">
      <c r="A25" s="11" t="inlineStr">
        <is>
          <t>Elizabeth N. Cook</t>
        </is>
      </c>
      <c r="B25" s="11" t="inlineStr">
        <is>
          <t>The Board of Trustees of North Kansas City Hospital</t>
        </is>
      </c>
      <c r="C25" s="11" t="inlineStr">
        <is>
          <t>CEP154</t>
        </is>
      </c>
      <c r="D25" s="93" t="n">
        <v>821.6</v>
      </c>
      <c r="E25" s="93" t="n">
        <v>268.9</v>
      </c>
      <c r="F25" s="93" t="n">
        <v>0</v>
      </c>
      <c r="G25" s="93" t="n">
        <v>67.22</v>
      </c>
      <c r="H25" s="93" t="n">
        <v>201.68</v>
      </c>
      <c r="I25" s="93" t="n">
        <v>552.7</v>
      </c>
      <c r="J25" s="11" t="inlineStr"/>
    </row>
    <row r="26">
      <c r="A26" s="11" t="inlineStr">
        <is>
          <t>Jill R. Croan</t>
        </is>
      </c>
      <c r="B26" s="11" t="inlineStr">
        <is>
          <t>Board of Trustees of North Kansas City Hospital d/b/a</t>
        </is>
      </c>
      <c r="C26" s="11" t="inlineStr">
        <is>
          <t>CGK982</t>
        </is>
      </c>
      <c r="D26" s="93" t="n">
        <v>200</v>
      </c>
      <c r="E26" s="93" t="n">
        <v>200</v>
      </c>
      <c r="F26" s="93" t="n">
        <v>0</v>
      </c>
      <c r="G26" s="93" t="n">
        <v>50</v>
      </c>
      <c r="H26" s="93" t="n">
        <v>150</v>
      </c>
      <c r="I26" s="93" t="n">
        <v>0</v>
      </c>
      <c r="J26" s="11" t="inlineStr"/>
    </row>
    <row r="27">
      <c r="A27" s="11" t="inlineStr">
        <is>
          <t>Lynn C. Davis</t>
        </is>
      </c>
      <c r="B27" s="11" t="inlineStr">
        <is>
          <t>The Board of Trustees of North Kansas City Hospital</t>
        </is>
      </c>
      <c r="C27" s="11" t="inlineStr">
        <is>
          <t>DU9424</t>
        </is>
      </c>
      <c r="D27" s="93" t="n">
        <v>175</v>
      </c>
      <c r="E27" s="93" t="n">
        <v>175</v>
      </c>
      <c r="F27" s="93" t="n">
        <v>0</v>
      </c>
      <c r="G27" s="93" t="n">
        <v>43.75</v>
      </c>
      <c r="H27" s="93" t="n">
        <v>131.25</v>
      </c>
      <c r="I27" s="93" t="n">
        <v>0</v>
      </c>
      <c r="J27" s="11" t="inlineStr"/>
    </row>
    <row r="28">
      <c r="A28" s="11" t="inlineStr">
        <is>
          <t>Jennifer S. Ehrhardt</t>
        </is>
      </c>
      <c r="B28" s="11" t="inlineStr">
        <is>
          <t>Board of Trustees of North Kansas City Hospital d/b/a</t>
        </is>
      </c>
      <c r="C28" s="11" t="inlineStr">
        <is>
          <t>EG0879</t>
        </is>
      </c>
      <c r="D28" s="93" t="n">
        <v>1753</v>
      </c>
      <c r="E28" s="93" t="n">
        <v>1498.3</v>
      </c>
      <c r="F28" s="93" t="n">
        <v>104</v>
      </c>
      <c r="G28" s="93" t="n">
        <v>374.57</v>
      </c>
      <c r="H28" s="93" t="n">
        <v>1123.73</v>
      </c>
      <c r="I28" s="93" t="n">
        <v>150.7</v>
      </c>
      <c r="J28" s="11" t="inlineStr"/>
    </row>
    <row r="29">
      <c r="A29" s="11" t="inlineStr">
        <is>
          <t>Lorie M. Flores</t>
        </is>
      </c>
      <c r="B29" s="11" t="inlineStr">
        <is>
          <t>Board of Trustees of North Kansas City Hospital d/b/a</t>
        </is>
      </c>
      <c r="C29" s="11" t="inlineStr">
        <is>
          <t>FL8867</t>
        </is>
      </c>
      <c r="D29" s="93" t="n">
        <v>200</v>
      </c>
      <c r="E29" s="93" t="n">
        <v>26</v>
      </c>
      <c r="F29" s="93" t="n">
        <v>174</v>
      </c>
      <c r="G29" s="93" t="n">
        <v>6.5</v>
      </c>
      <c r="H29" s="93" t="n">
        <v>19.5</v>
      </c>
      <c r="I29" s="93" t="n">
        <v>0</v>
      </c>
      <c r="J29" s="11" t="inlineStr"/>
    </row>
    <row r="30">
      <c r="A30" s="11" t="inlineStr">
        <is>
          <t>Bridget M. Fox</t>
        </is>
      </c>
      <c r="B30" s="11" t="inlineStr">
        <is>
          <t>Board of Trustees of North Kansas City Hospital d/b/a</t>
        </is>
      </c>
      <c r="C30" s="11" t="inlineStr">
        <is>
          <t>FK8366</t>
        </is>
      </c>
      <c r="D30" s="93" t="n">
        <v>100</v>
      </c>
      <c r="E30" s="93" t="n">
        <v>100</v>
      </c>
      <c r="F30" s="93" t="n">
        <v>0</v>
      </c>
      <c r="G30" s="93" t="n">
        <v>25</v>
      </c>
      <c r="H30" s="93" t="n">
        <v>75</v>
      </c>
      <c r="I30" s="93" t="n">
        <v>0</v>
      </c>
      <c r="J30" s="11" t="inlineStr"/>
    </row>
    <row r="31">
      <c r="A31" s="11" t="inlineStr">
        <is>
          <t>Michael A. Freeman</t>
        </is>
      </c>
      <c r="B31" s="11" t="inlineStr">
        <is>
          <t>Board of Trustees of North Kansas City Hospital d/b/a</t>
        </is>
      </c>
      <c r="C31" s="11" t="inlineStr">
        <is>
          <t>FO3662</t>
        </is>
      </c>
      <c r="D31" s="93" t="n">
        <v>50</v>
      </c>
      <c r="E31" s="93" t="n">
        <v>0</v>
      </c>
      <c r="F31" s="93" t="n">
        <v>50</v>
      </c>
      <c r="G31" s="93" t="n">
        <v>0</v>
      </c>
      <c r="H31" s="93" t="n">
        <v>0</v>
      </c>
      <c r="I31" s="93" t="n">
        <v>0</v>
      </c>
      <c r="J31" s="11" t="inlineStr"/>
    </row>
    <row r="32">
      <c r="A32" s="11" t="inlineStr">
        <is>
          <t>Andrea M Gilbertson</t>
        </is>
      </c>
      <c r="B32" s="11" t="inlineStr">
        <is>
          <t>Board of Trustees of North Kansas City Hospital d/b/a</t>
        </is>
      </c>
      <c r="C32" s="11" t="inlineStr">
        <is>
          <t>GW6240</t>
        </is>
      </c>
      <c r="D32" s="93" t="n">
        <v>200</v>
      </c>
      <c r="E32" s="93" t="n">
        <v>200</v>
      </c>
      <c r="F32" s="93" t="n">
        <v>0</v>
      </c>
      <c r="G32" s="93" t="n">
        <v>50</v>
      </c>
      <c r="H32" s="93" t="n">
        <v>150</v>
      </c>
      <c r="I32" s="93" t="n">
        <v>0</v>
      </c>
      <c r="J32" s="11" t="inlineStr"/>
    </row>
    <row r="33">
      <c r="A33" s="11" t="inlineStr">
        <is>
          <t>Lloyd M. Goodwin</t>
        </is>
      </c>
      <c r="B33" s="11" t="inlineStr">
        <is>
          <t>The Board of Trustees of North Kansas City Hospital</t>
        </is>
      </c>
      <c r="C33" s="11" t="inlineStr">
        <is>
          <t>GT9733</t>
        </is>
      </c>
      <c r="D33" s="93" t="n">
        <v>826.21</v>
      </c>
      <c r="E33" s="93" t="n">
        <v>577.71</v>
      </c>
      <c r="F33" s="93" t="n">
        <v>248.5</v>
      </c>
      <c r="G33" s="93" t="n">
        <v>144.43</v>
      </c>
      <c r="H33" s="93" t="n">
        <v>433.28</v>
      </c>
      <c r="I33" s="93" t="n">
        <v>0</v>
      </c>
      <c r="J33" s="11" t="inlineStr"/>
    </row>
    <row r="34">
      <c r="A34" s="11" t="inlineStr">
        <is>
          <t>Jaclyn Guevara</t>
        </is>
      </c>
      <c r="B34" s="11" t="inlineStr">
        <is>
          <t>Board of Trustees of North Kansas City Hospital d/b/a</t>
        </is>
      </c>
      <c r="C34" s="11" t="inlineStr">
        <is>
          <t>GAG881</t>
        </is>
      </c>
      <c r="D34" s="93" t="n">
        <v>292.08</v>
      </c>
      <c r="E34" s="93" t="n">
        <v>122.36</v>
      </c>
      <c r="F34" s="93" t="n">
        <v>169.72</v>
      </c>
      <c r="G34" s="93" t="n">
        <v>30.59</v>
      </c>
      <c r="H34" s="93" t="n">
        <v>91.77</v>
      </c>
      <c r="I34" s="93" t="n">
        <v>0</v>
      </c>
      <c r="J34" s="11" t="inlineStr"/>
    </row>
    <row r="35">
      <c r="A35" s="11" t="inlineStr">
        <is>
          <t>Angela M Hamilton</t>
        </is>
      </c>
      <c r="B35" s="11" t="inlineStr">
        <is>
          <t>Board of Trustees of North Kansas City Hospital d/b/a</t>
        </is>
      </c>
      <c r="C35" s="11" t="inlineStr">
        <is>
          <t>HGK720</t>
        </is>
      </c>
      <c r="D35" s="93" t="n">
        <v>768.78</v>
      </c>
      <c r="E35" s="93" t="n">
        <v>768.78</v>
      </c>
      <c r="F35" s="93" t="n">
        <v>0</v>
      </c>
      <c r="G35" s="93" t="n">
        <v>192.19</v>
      </c>
      <c r="H35" s="93" t="n">
        <v>576.59</v>
      </c>
      <c r="I35" s="93" t="n">
        <v>0</v>
      </c>
      <c r="J35" s="11" t="inlineStr"/>
    </row>
    <row r="36">
      <c r="A36" s="11" t="inlineStr">
        <is>
          <t>Felicia Harris</t>
        </is>
      </c>
      <c r="B36" s="11" t="inlineStr">
        <is>
          <t>The Board of Trustees of North Kansas City Hospital</t>
        </is>
      </c>
      <c r="C36" s="11" t="inlineStr">
        <is>
          <t>HHF236</t>
        </is>
      </c>
      <c r="D36" s="93" t="n">
        <v>100</v>
      </c>
      <c r="E36" s="93" t="n">
        <v>100</v>
      </c>
      <c r="F36" s="93" t="n">
        <v>0</v>
      </c>
      <c r="G36" s="93" t="n">
        <v>25</v>
      </c>
      <c r="H36" s="93" t="n">
        <v>75</v>
      </c>
      <c r="I36" s="93" t="n">
        <v>0</v>
      </c>
      <c r="J36" s="11" t="inlineStr"/>
    </row>
    <row r="37">
      <c r="A37" s="11" t="inlineStr">
        <is>
          <t>Logan R. Hayes</t>
        </is>
      </c>
      <c r="B37" s="11" t="inlineStr">
        <is>
          <t>The Board of Trustees of North Kansas City Hospital</t>
        </is>
      </c>
      <c r="C37" s="11" t="inlineStr">
        <is>
          <t>HID788</t>
        </is>
      </c>
      <c r="D37" s="93" t="n">
        <v>100</v>
      </c>
      <c r="E37" s="93" t="n">
        <v>100</v>
      </c>
      <c r="F37" s="93" t="n">
        <v>0</v>
      </c>
      <c r="G37" s="93" t="n">
        <v>25</v>
      </c>
      <c r="H37" s="93" t="n">
        <v>75</v>
      </c>
      <c r="I37" s="93" t="n">
        <v>0</v>
      </c>
      <c r="J37" s="11" t="inlineStr"/>
    </row>
    <row r="38">
      <c r="A38" s="11" t="inlineStr">
        <is>
          <t>Paige Head</t>
        </is>
      </c>
      <c r="B38" s="11" t="inlineStr">
        <is>
          <t>Board of Trustees of North Kansas City Hospital d/b/a</t>
        </is>
      </c>
      <c r="C38" s="11" t="inlineStr">
        <is>
          <t>HID452</t>
        </is>
      </c>
      <c r="D38" s="93" t="n">
        <v>806.13</v>
      </c>
      <c r="E38" s="93" t="n">
        <v>806.13</v>
      </c>
      <c r="F38" s="93" t="n">
        <v>0</v>
      </c>
      <c r="G38" s="93" t="n">
        <v>201.53</v>
      </c>
      <c r="H38" s="93" t="n">
        <v>604.6</v>
      </c>
      <c r="I38" s="93" t="n">
        <v>0</v>
      </c>
      <c r="J38" s="11" t="inlineStr"/>
    </row>
    <row r="39">
      <c r="A39" s="11" t="inlineStr">
        <is>
          <t>Missy M. Hendershot</t>
        </is>
      </c>
      <c r="B39" s="11" t="inlineStr">
        <is>
          <t>The Board of Trustees of North Kansas City Hospital</t>
        </is>
      </c>
      <c r="C39" s="11" t="inlineStr">
        <is>
          <t>HHF216</t>
        </is>
      </c>
      <c r="D39" s="93" t="n">
        <v>21.51</v>
      </c>
      <c r="E39" s="93" t="n">
        <v>21.51</v>
      </c>
      <c r="F39" s="93" t="n">
        <v>0</v>
      </c>
      <c r="G39" s="93" t="n">
        <v>5.38</v>
      </c>
      <c r="H39" s="93" t="n">
        <v>16.13</v>
      </c>
      <c r="I39" s="93" t="n">
        <v>0</v>
      </c>
      <c r="J39" s="11" t="inlineStr"/>
    </row>
    <row r="40">
      <c r="A40" s="11" t="inlineStr">
        <is>
          <t>Richard M. Hill</t>
        </is>
      </c>
      <c r="B40" s="11" t="inlineStr">
        <is>
          <t>Board of Trustees of North Kansas City Hospital d/b/a</t>
        </is>
      </c>
      <c r="C40" s="11" t="inlineStr">
        <is>
          <t>HKJ496</t>
        </is>
      </c>
      <c r="D40" s="93" t="n">
        <v>691.64</v>
      </c>
      <c r="E40" s="93" t="n">
        <v>691.64</v>
      </c>
      <c r="F40" s="93" t="n">
        <v>0</v>
      </c>
      <c r="G40" s="93" t="n">
        <v>172.91</v>
      </c>
      <c r="H40" s="93" t="n">
        <v>518.73</v>
      </c>
      <c r="I40" s="93" t="n">
        <v>0</v>
      </c>
      <c r="J40" s="11" t="inlineStr"/>
    </row>
    <row r="41">
      <c r="A41" s="11" t="inlineStr">
        <is>
          <t>Taquisha Hill</t>
        </is>
      </c>
      <c r="B41" s="11" t="inlineStr">
        <is>
          <t>The Board of Trustees of North Kansas City Hospital</t>
        </is>
      </c>
      <c r="C41" s="11" t="inlineStr">
        <is>
          <t>HHN223</t>
        </is>
      </c>
      <c r="D41" s="93" t="n">
        <v>239.88</v>
      </c>
      <c r="E41" s="93" t="n">
        <v>174.97</v>
      </c>
      <c r="F41" s="93" t="n">
        <v>0</v>
      </c>
      <c r="G41" s="93" t="n">
        <v>43.74</v>
      </c>
      <c r="H41" s="93" t="n">
        <v>131.23</v>
      </c>
      <c r="I41" s="93" t="n">
        <v>64.91</v>
      </c>
      <c r="J41" s="11" t="inlineStr"/>
    </row>
    <row r="42">
      <c r="A42" s="11" t="inlineStr">
        <is>
          <t>Kenneth K. Hobbie</t>
        </is>
      </c>
      <c r="B42" s="11" t="inlineStr">
        <is>
          <t>Board of Trustees of North Kansas City Hospital d/b/a</t>
        </is>
      </c>
      <c r="C42" s="11" t="inlineStr">
        <is>
          <t>HKE369</t>
        </is>
      </c>
      <c r="D42" s="93" t="n">
        <v>400</v>
      </c>
      <c r="E42" s="93" t="n">
        <v>400</v>
      </c>
      <c r="F42" s="93" t="n">
        <v>0</v>
      </c>
      <c r="G42" s="93" t="n">
        <v>100</v>
      </c>
      <c r="H42" s="93" t="n">
        <v>300</v>
      </c>
      <c r="I42" s="93" t="n">
        <v>0</v>
      </c>
      <c r="J42" s="11" t="inlineStr"/>
    </row>
    <row r="43">
      <c r="A43" s="11" t="inlineStr">
        <is>
          <t>Meridith K Hopkins</t>
        </is>
      </c>
      <c r="B43" s="11" t="inlineStr">
        <is>
          <t>Board of Trustees of North Kansas City Hospital d/b/a</t>
        </is>
      </c>
      <c r="C43" s="11" t="inlineStr">
        <is>
          <t>HIN838</t>
        </is>
      </c>
      <c r="D43" s="93" t="n">
        <v>545.8099999999999</v>
      </c>
      <c r="E43" s="93" t="n">
        <v>385.31</v>
      </c>
      <c r="F43" s="93" t="n">
        <v>160.5</v>
      </c>
      <c r="G43" s="93" t="n">
        <v>96.33</v>
      </c>
      <c r="H43" s="93" t="n">
        <v>288.98</v>
      </c>
      <c r="I43" s="93" t="n">
        <v>0</v>
      </c>
      <c r="J43" s="11" t="inlineStr"/>
    </row>
    <row r="44">
      <c r="A44" s="11" t="inlineStr">
        <is>
          <t>Cynthia M. Johnson</t>
        </is>
      </c>
      <c r="B44" s="11" t="inlineStr">
        <is>
          <t>The Board of Trustees of North Kansas City Hospital</t>
        </is>
      </c>
      <c r="C44" s="11" t="inlineStr">
        <is>
          <t>JR3670</t>
        </is>
      </c>
      <c r="D44" s="93" t="n">
        <v>75</v>
      </c>
      <c r="E44" s="93" t="n">
        <v>75</v>
      </c>
      <c r="F44" s="93" t="n">
        <v>0</v>
      </c>
      <c r="G44" s="93" t="n">
        <v>18.75</v>
      </c>
      <c r="H44" s="93" t="n">
        <v>56.25</v>
      </c>
      <c r="I44" s="93" t="n">
        <v>0</v>
      </c>
      <c r="J44" s="11" t="inlineStr"/>
    </row>
    <row r="45">
      <c r="A45" s="11" t="inlineStr">
        <is>
          <t>Aaron D. Jones</t>
        </is>
      </c>
      <c r="B45" s="11" t="inlineStr">
        <is>
          <t>Board of Trustees of North Kansas City Hospital d/b/a</t>
        </is>
      </c>
      <c r="C45" s="11" t="inlineStr">
        <is>
          <t>JU7268</t>
        </is>
      </c>
      <c r="D45" s="93" t="n">
        <v>565.49</v>
      </c>
      <c r="E45" s="93" t="n">
        <v>322.63</v>
      </c>
      <c r="F45" s="93" t="n">
        <v>0</v>
      </c>
      <c r="G45" s="93" t="n">
        <v>80.66</v>
      </c>
      <c r="H45" s="93" t="n">
        <v>241.97</v>
      </c>
      <c r="I45" s="93" t="n">
        <v>242.86</v>
      </c>
      <c r="J45" s="11" t="inlineStr"/>
    </row>
    <row r="46">
      <c r="A46" s="11" t="inlineStr">
        <is>
          <t>Amy E. Wayman</t>
        </is>
      </c>
      <c r="B46" s="11" t="inlineStr">
        <is>
          <t>Board of Trustees of North Kansas City Hospital d/b/a</t>
        </is>
      </c>
      <c r="C46" s="11" t="inlineStr">
        <is>
          <t>WBE547</t>
        </is>
      </c>
      <c r="D46" s="93" t="n">
        <v>350</v>
      </c>
      <c r="E46" s="93" t="n">
        <v>350</v>
      </c>
      <c r="F46" s="93" t="n">
        <v>0</v>
      </c>
      <c r="G46" s="93" t="n">
        <v>87.5</v>
      </c>
      <c r="H46" s="93" t="n">
        <v>262.5</v>
      </c>
      <c r="I46" s="93" t="n">
        <v>0</v>
      </c>
      <c r="J46" s="11" t="inlineStr"/>
    </row>
  </sheetData>
  <mergeCells count="12">
    <mergeCell ref="A1:J1"/>
    <mergeCell ref="C7:C8"/>
    <mergeCell ref="A7:A8"/>
    <mergeCell ref="D7:D8"/>
    <mergeCell ref="B7:B8"/>
    <mergeCell ref="K7:K8"/>
    <mergeCell ref="H7:H8"/>
    <mergeCell ref="I7:I8"/>
    <mergeCell ref="A2:J2"/>
    <mergeCell ref="J7:J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C5" sqref="C5"/>
    </sheetView>
  </sheetViews>
  <sheetFormatPr baseColWidth="8" defaultRowHeight="15"/>
  <cols>
    <col width="53.140625" customWidth="1" min="1" max="1"/>
    <col width="58.140625" customWidth="1" min="2" max="2"/>
    <col width="65.5703125" customWidth="1" style="89" min="3" max="3"/>
  </cols>
  <sheetData>
    <row r="1" ht="16.5" customHeight="1">
      <c r="A1" s="58" t="inlineStr">
        <is>
          <t>NKC HEALTH</t>
        </is>
      </c>
      <c r="B1" s="57" t="n"/>
      <c r="C1" s="94" t="n"/>
    </row>
    <row r="2" ht="16.5" customHeight="1">
      <c r="A2" s="59" t="inlineStr">
        <is>
          <t>Interest Only Payments Through 10-19-2026</t>
        </is>
      </c>
      <c r="B2" s="57" t="n"/>
      <c r="C2" s="94" t="n"/>
    </row>
    <row r="3" ht="16.5" customHeight="1">
      <c r="A3" s="57" t="n"/>
      <c r="B3" s="57" t="n"/>
      <c r="C3" s="94" t="n"/>
    </row>
    <row r="4">
      <c r="A4" s="21" t="n"/>
      <c r="B4" s="21" t="n"/>
      <c r="C4" s="94" t="n"/>
    </row>
    <row r="5">
      <c r="A5" s="22" t="n"/>
      <c r="B5" s="23" t="inlineStr">
        <is>
          <t>Total</t>
        </is>
      </c>
      <c r="C5" s="95">
        <f>SUM(C8:C1000)</f>
        <v/>
      </c>
    </row>
    <row r="6">
      <c r="A6" s="21" t="n"/>
      <c r="B6" s="21" t="n"/>
      <c r="C6" s="94" t="n"/>
    </row>
    <row r="7" ht="15.75" customHeight="1" thickBot="1">
      <c r="A7" s="24" t="inlineStr">
        <is>
          <t>DEFENDANT</t>
        </is>
      </c>
      <c r="B7" s="24" t="inlineStr">
        <is>
          <t>PLAINTIFF</t>
        </is>
      </c>
      <c r="C7" s="96" t="inlineStr">
        <is>
          <t>BW LLP INTEREST</t>
        </is>
      </c>
    </row>
    <row r="8">
      <c r="A8" t="inlineStr">
        <is>
          <t>Flentino Alvarez</t>
        </is>
      </c>
      <c r="B8" t="inlineStr">
        <is>
          <t>The Board of Trustees of North Kansas City Hospital</t>
        </is>
      </c>
      <c r="C8" t="n">
        <v>200</v>
      </c>
    </row>
    <row r="9">
      <c r="A9" t="inlineStr">
        <is>
          <t>Melissa A. Blanton</t>
        </is>
      </c>
      <c r="B9" t="inlineStr">
        <is>
          <t>Board of Trustees of North Kansas City Hospital d/b/a</t>
        </is>
      </c>
      <c r="C9" t="n">
        <v>486.36</v>
      </c>
    </row>
    <row r="10">
      <c r="A10" t="inlineStr">
        <is>
          <t>Hannah E. Harper</t>
        </is>
      </c>
      <c r="B10" t="inlineStr">
        <is>
          <t>The Board of Trustees of North Kansas City Hospital</t>
        </is>
      </c>
      <c r="C10" t="n">
        <v>218.65</v>
      </c>
    </row>
    <row r="11">
      <c r="A11" t="inlineStr">
        <is>
          <t>Nicki G. Hatfield</t>
        </is>
      </c>
      <c r="B11" t="inlineStr">
        <is>
          <t>The Board of Trustees of North Kansas City Hospital</t>
        </is>
      </c>
      <c r="C11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2026-10-19T05:58:05Z</dcterms:modified>
  <cp:lastModifiedBy>Parvathynathan K</cp:lastModifiedBy>
</cp:coreProperties>
</file>
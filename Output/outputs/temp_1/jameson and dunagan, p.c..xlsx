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mmary1" sheetId="1" state="visible" r:id="rId1"/>
    <sheet name="Summary2" sheetId="2" state="visible" r:id="rId2"/>
    <sheet name="Summary3" sheetId="3" state="visible" r:id="rId3"/>
    <sheet name="Payments" sheetId="4" state="visible" r:id="rId4"/>
    <sheet name="Cost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[$$-409]#,##0.00"/>
    <numFmt numFmtId="165" formatCode="_-[$$-409]* #,##0.00_ ;_-[$$-409]* \-#,##0.00\ ;_-[$$-409]* &quot;-&quot;??_ ;_-@_ "/>
    <numFmt numFmtId="166" formatCode="_(&quot;$&quot;* #,##0.00_);_(&quot;$&quot;* \(#,##0.00\);_(&quot;$&quot;* &quot;-&quot;??_);_(@_)"/>
    <numFmt numFmtId="167" formatCode="&quot;$&quot;#,##0.00"/>
  </numFmts>
  <fonts count="17">
    <font>
      <name val="Calibri"/>
      <family val="2"/>
      <color theme="1"/>
      <sz val="11"/>
      <scheme val="minor"/>
    </font>
    <font>
      <name val="Arial Narrow"/>
      <family val="2"/>
      <color rgb="FF000000"/>
      <sz val="8"/>
    </font>
    <font>
      <name val="Arial Narrow"/>
      <family val="2"/>
      <i val="1"/>
      <color rgb="FF000000"/>
      <sz val="8"/>
    </font>
    <font>
      <name val="Calibri"/>
      <family val="2"/>
      <color theme="1"/>
      <sz val="11"/>
      <scheme val="minor"/>
    </font>
    <font>
      <name val="Arial Narrow"/>
      <family val="2"/>
      <color theme="1"/>
      <sz val="11"/>
    </font>
    <font>
      <name val="Arial Narrow"/>
      <family val="2"/>
      <b val="1"/>
      <sz val="11"/>
    </font>
    <font>
      <name val="Arial Narrow"/>
      <family val="2"/>
      <sz val="11"/>
    </font>
    <font>
      <name val="Arial Narrow"/>
      <family val="2"/>
      <i val="1"/>
      <sz val="11"/>
    </font>
    <font>
      <name val="Times New Roman"/>
      <family val="1"/>
      <color rgb="FF000000"/>
      <sz val="12"/>
    </font>
    <font>
      <name val="Calibri"/>
      <family val="2"/>
      <color rgb="FF000000"/>
      <sz val="11"/>
      <scheme val="minor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i val="1"/>
      <sz val="10"/>
    </font>
    <font>
      <name val="Arial Narrow"/>
      <family val="2"/>
      <color rgb="FF000000"/>
      <sz val="11"/>
    </font>
    <font>
      <name val="Arial"/>
      <family val="2"/>
      <b val="1"/>
      <sz val="11"/>
    </font>
    <font>
      <name val="Arial"/>
      <family val="2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3" fillId="0" borderId="0"/>
    <xf numFmtId="9" fontId="3" fillId="0" borderId="0"/>
  </cellStyleXfs>
  <cellXfs count="76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4" fillId="0" borderId="0" pivotButton="0" quotePrefix="0" xfId="0"/>
    <xf numFmtId="164" fontId="4" fillId="0" borderId="0" pivotButton="0" quotePrefix="0" xfId="1"/>
    <xf numFmtId="164" fontId="4" fillId="0" borderId="0" pivotButton="0" quotePrefix="0" xfId="1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164" fontId="6" fillId="0" borderId="0" applyAlignment="1" pivotButton="0" quotePrefix="0" xfId="1">
      <alignment horizontal="center"/>
    </xf>
    <xf numFmtId="0" fontId="6" fillId="0" borderId="0" applyAlignment="1" pivotButton="0" quotePrefix="0" xfId="0">
      <alignment wrapText="1"/>
    </xf>
    <xf numFmtId="2" fontId="5" fillId="0" borderId="0" applyAlignment="1" pivotButton="0" quotePrefix="0" xfId="1">
      <alignment horizontal="center"/>
    </xf>
    <xf numFmtId="0" fontId="5" fillId="0" borderId="0" applyAlignment="1" pivotButton="0" quotePrefix="0" xfId="0">
      <alignment wrapText="1"/>
    </xf>
    <xf numFmtId="164" fontId="5" fillId="0" borderId="0" applyAlignment="1" pivotButton="0" quotePrefix="0" xfId="1">
      <alignment horizontal="center" wrapText="1"/>
    </xf>
    <xf numFmtId="0" fontId="5" fillId="0" borderId="0" applyAlignment="1" pivotButton="0" quotePrefix="0" xfId="0">
      <alignment horizontal="center" wrapText="1"/>
    </xf>
    <xf numFmtId="164" fontId="4" fillId="0" borderId="0" pivotButton="0" quotePrefix="0" xfId="0"/>
    <xf numFmtId="164" fontId="6" fillId="0" borderId="0" applyAlignment="1" pivotButton="0" quotePrefix="0" xfId="0">
      <alignment horizontal="center"/>
    </xf>
    <xf numFmtId="164" fontId="6" fillId="0" borderId="0" pivotButton="0" quotePrefix="0" xfId="0"/>
    <xf numFmtId="0" fontId="6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right"/>
    </xf>
    <xf numFmtId="49" fontId="7" fillId="0" borderId="0" applyAlignment="1" pivotButton="0" quotePrefix="0" xfId="0">
      <alignment horizontal="center"/>
    </xf>
    <xf numFmtId="0" fontId="5" fillId="0" borderId="0" pivotButton="0" quotePrefix="0" xfId="0"/>
    <xf numFmtId="164" fontId="5" fillId="0" borderId="0" pivotButton="0" quotePrefix="0" xfId="0"/>
    <xf numFmtId="164" fontId="5" fillId="0" borderId="0" applyAlignment="1" pivotButton="0" quotePrefix="0" xfId="0">
      <alignment horizontal="center" wrapText="1"/>
    </xf>
    <xf numFmtId="165" fontId="4" fillId="2" borderId="0" pivotButton="0" quotePrefix="0" xfId="0"/>
    <xf numFmtId="166" fontId="6" fillId="0" borderId="0" pivotButton="0" quotePrefix="0" xfId="0"/>
    <xf numFmtId="165" fontId="6" fillId="0" borderId="0" pivotButton="0" quotePrefix="0" xfId="0"/>
    <xf numFmtId="166" fontId="6" fillId="0" borderId="1" applyAlignment="1" pivotButton="0" quotePrefix="0" xfId="0">
      <alignment vertical="center"/>
    </xf>
    <xf numFmtId="166" fontId="6" fillId="0" borderId="0" applyAlignment="1" pivotButton="0" quotePrefix="0" xfId="0">
      <alignment horizontal="center"/>
    </xf>
    <xf numFmtId="0" fontId="8" fillId="0" borderId="0" applyAlignment="1" pivotButton="0" quotePrefix="0" xfId="0">
      <alignment vertical="top"/>
    </xf>
    <xf numFmtId="0" fontId="8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166" fontId="6" fillId="2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wrapText="1"/>
    </xf>
    <xf numFmtId="0" fontId="11" fillId="0" borderId="0" pivotButton="0" quotePrefix="0" xfId="0"/>
    <xf numFmtId="0" fontId="9" fillId="0" borderId="0" pivotButton="0" quotePrefix="0" xfId="0"/>
    <xf numFmtId="0" fontId="12" fillId="0" borderId="0" applyAlignment="1" pivotButton="0" quotePrefix="0" xfId="0">
      <alignment vertical="top" wrapText="1"/>
    </xf>
    <xf numFmtId="2" fontId="0" fillId="0" borderId="0" pivotButton="0" quotePrefix="0" xfId="0"/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horizontal="right" vertical="top"/>
    </xf>
    <xf numFmtId="164" fontId="5" fillId="0" borderId="0" applyAlignment="1" pivotButton="0" quotePrefix="0" xfId="0">
      <alignment horizontal="center" wrapText="1"/>
    </xf>
    <xf numFmtId="0" fontId="5" fillId="0" borderId="0" applyAlignment="1" pivotButton="0" quotePrefix="0" xfId="0">
      <alignment horizontal="center" wrapText="1"/>
    </xf>
    <xf numFmtId="0" fontId="6" fillId="0" borderId="0" pivotButton="0" quotePrefix="0" xfId="0"/>
    <xf numFmtId="0" fontId="5" fillId="0" borderId="0" applyAlignment="1" pivotButton="0" quotePrefix="0" xfId="0">
      <alignment horizontal="center"/>
    </xf>
    <xf numFmtId="0" fontId="5" fillId="0" borderId="0" pivotButton="0" quotePrefix="0" xfId="0"/>
    <xf numFmtId="0" fontId="13" fillId="0" borderId="0" pivotButton="0" quotePrefix="0" xfId="0"/>
    <xf numFmtId="2" fontId="4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top" wrapText="1"/>
    </xf>
    <xf numFmtId="0" fontId="14" fillId="0" borderId="0" pivotButton="0" quotePrefix="0" xfId="0"/>
    <xf numFmtId="0" fontId="14" fillId="0" borderId="0" applyAlignment="1" pivotButton="0" quotePrefix="0" xfId="0">
      <alignment wrapText="1"/>
    </xf>
    <xf numFmtId="0" fontId="15" fillId="0" borderId="0" pivotButton="0" quotePrefix="0" xfId="0"/>
    <xf numFmtId="165" fontId="6" fillId="0" borderId="0" pivotButton="0" quotePrefix="0" xfId="0"/>
    <xf numFmtId="166" fontId="6" fillId="0" borderId="0" pivotButton="0" quotePrefix="0" xfId="0"/>
    <xf numFmtId="166" fontId="6" fillId="0" borderId="1" applyAlignment="1" pivotButton="0" quotePrefix="0" xfId="0">
      <alignment vertical="center"/>
    </xf>
    <xf numFmtId="166" fontId="6" fillId="0" borderId="0" applyAlignment="1" pivotButton="0" quotePrefix="0" xfId="0">
      <alignment horizontal="center"/>
    </xf>
    <xf numFmtId="165" fontId="4" fillId="2" borderId="0" pivotButton="0" quotePrefix="0" xfId="0"/>
    <xf numFmtId="166" fontId="6" fillId="2" borderId="0" pivotButton="0" quotePrefix="0" xfId="0"/>
    <xf numFmtId="164" fontId="4" fillId="0" borderId="0" pivotButton="0" quotePrefix="0" xfId="0"/>
    <xf numFmtId="0" fontId="16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center"/>
    </xf>
    <xf numFmtId="164" fontId="6" fillId="0" borderId="0" pivotButton="0" quotePrefix="0" xfId="0"/>
    <xf numFmtId="164" fontId="6" fillId="0" borderId="0" applyAlignment="1" pivotButton="0" quotePrefix="0" xfId="0">
      <alignment horizontal="right"/>
    </xf>
    <xf numFmtId="9" fontId="16" fillId="0" borderId="0" applyAlignment="1" pivotButton="0" quotePrefix="0" xfId="0">
      <alignment horizontal="center"/>
    </xf>
    <xf numFmtId="167" fontId="16" fillId="0" borderId="0" pivotButton="0" quotePrefix="0" xfId="0"/>
    <xf numFmtId="164" fontId="5" fillId="0" borderId="0" pivotButton="0" quotePrefix="0" xfId="0"/>
    <xf numFmtId="164" fontId="5" fillId="0" borderId="0" applyAlignment="1" pivotButton="0" quotePrefix="0" xfId="0">
      <alignment horizontal="center" wrapText="1"/>
    </xf>
    <xf numFmtId="167" fontId="0" fillId="0" borderId="0" pivotButton="0" quotePrefix="0" xfId="0"/>
    <xf numFmtId="164" fontId="4" fillId="0" borderId="0" pivotButton="0" quotePrefix="0" xfId="1"/>
    <xf numFmtId="164" fontId="6" fillId="0" borderId="0" applyAlignment="1" pivotButton="0" quotePrefix="0" xfId="1">
      <alignment horizontal="center"/>
    </xf>
    <xf numFmtId="164" fontId="5" fillId="0" borderId="0" applyAlignment="1" pivotButton="0" quotePrefix="0" xfId="1">
      <alignment horizontal="center" wrapText="1"/>
    </xf>
    <xf numFmtId="2" fontId="16" fillId="0" borderId="0" applyAlignment="1" pivotButton="0" quotePrefix="0" xfId="1">
      <alignment horizontal="center"/>
    </xf>
    <xf numFmtId="167" fontId="16" fillId="0" borderId="0" pivotButton="0" quotePrefix="0" xfId="1"/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1</rowOff>
    </from>
    <to>
      <col>6</col>
      <colOff>523875</colOff>
      <row>0</row>
      <rowOff>857251</rowOff>
    </to>
    <pic>
      <nvPicPr>
        <cNvPr id="2" name="Picture 1" descr="BW Banner Logo BLACK &amp; WHITE sfw edit, 5-6-14.PNG"/>
        <cNvPicPr/>
      </nvPicPr>
      <blipFill>
        <a:blip cstate="print" r:embed="rId1"/>
        <a:stretch>
          <a:fillRect/>
        </a:stretch>
      </blipFill>
      <spPr>
        <a:xfrm>
          <a:off x="0" y="1"/>
          <a:ext cx="5876925" cy="85725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6</col>
      <colOff>552450</colOff>
      <row>0</row>
      <rowOff>847725</rowOff>
    </to>
    <pic>
      <nvPicPr>
        <cNvPr id="2" name="Picture 1" descr="BW Banner Logo BLACK &amp; WHITE sfw edit, 5-6-14.PNG"/>
        <cNvPicPr/>
      </nvPicPr>
      <blipFill>
        <a:blip cstate="print" r:embed="rId1"/>
        <a:stretch>
          <a:fillRect/>
        </a:stretch>
      </blipFill>
      <spPr>
        <a:xfrm>
          <a:off x="0" y="0"/>
          <a:ext cx="5905500" cy="847725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6</col>
      <colOff>552450</colOff>
      <row>0</row>
      <rowOff>847725</rowOff>
    </to>
    <pic>
      <nvPicPr>
        <cNvPr id="2" name="Picture 1" descr="BW Banner Logo BLACK &amp; WHITE sfw edit, 5-6-14.PNG"/>
        <cNvPicPr/>
      </nvPicPr>
      <blipFill>
        <a:blip cstate="print" r:embed="rId1"/>
        <a:stretch>
          <a:fillRect/>
        </a:stretch>
      </blipFill>
      <spPr>
        <a:xfrm>
          <a:off x="0" y="0"/>
          <a:ext cx="5905500" cy="84772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tabSelected="1" workbookViewId="0">
      <selection activeCell="E23" sqref="E23"/>
    </sheetView>
  </sheetViews>
  <sheetFormatPr baseColWidth="8" defaultRowHeight="15"/>
  <cols>
    <col width="24.7109375" customWidth="1" min="1" max="1"/>
    <col width="12.7109375" customWidth="1" min="2" max="2"/>
    <col width="12.7109375" customWidth="1" style="36" min="3" max="3"/>
    <col width="12.7109375" customWidth="1" min="4" max="4"/>
    <col width="8.7109375" customWidth="1" min="5" max="7"/>
  </cols>
  <sheetData>
    <row r="1" ht="68.25" customHeight="1">
      <c r="A1" s="39" t="n"/>
    </row>
    <row r="2" ht="15.75" customHeight="1">
      <c r="A2" s="27" t="inlineStr">
        <is>
          <t>Matthew D. Bessine</t>
        </is>
      </c>
      <c r="B2" s="37" t="inlineStr">
        <is>
          <t>2900 NE 60th St, Ste 150</t>
        </is>
      </c>
      <c r="E2" s="38" t="inlineStr">
        <is>
          <t>Adam K. Berman</t>
        </is>
      </c>
    </row>
    <row r="3" ht="15.75" customHeight="1">
      <c r="A3" s="1" t="inlineStr">
        <is>
          <t>Missouri, Kansas, Iowa</t>
        </is>
      </c>
      <c r="B3" s="37" t="inlineStr">
        <is>
          <t>Kansas City MO 64119</t>
        </is>
      </c>
      <c r="E3" s="40" t="inlineStr">
        <is>
          <t>Of Counsel, Missouri, Kansas</t>
        </is>
      </c>
    </row>
    <row r="4" ht="15.75" customHeight="1">
      <c r="A4" s="28" t="inlineStr">
        <is>
          <t>Scott F. Walterbach</t>
        </is>
      </c>
      <c r="B4" s="37" t="inlineStr">
        <is>
          <t>Phone [816] 601-1100</t>
        </is>
      </c>
      <c r="E4" s="38" t="n"/>
    </row>
    <row r="5" ht="15.75" customHeight="1">
      <c r="A5" s="1" t="inlineStr">
        <is>
          <t>Missouri, Kansas</t>
        </is>
      </c>
      <c r="B5" s="37" t="inlineStr">
        <is>
          <t>Fax [816] 601-1101</t>
        </is>
      </c>
      <c r="E5" s="41" t="n"/>
    </row>
    <row r="6" ht="15.75" customHeight="1">
      <c r="A6" s="39" t="n"/>
      <c r="B6" s="37" t="inlineStr">
        <is>
          <t>admin@bw-llp.com</t>
        </is>
      </c>
      <c r="E6" s="39" t="n"/>
    </row>
    <row r="7" ht="15.75" customHeight="1">
      <c r="A7" s="39" t="n"/>
      <c r="B7" s="37" t="inlineStr">
        <is>
          <t>www.bw-llp.com</t>
        </is>
      </c>
      <c r="E7" s="39" t="n"/>
    </row>
    <row r="8">
      <c r="A8" s="31" t="n"/>
      <c r="B8" s="32" t="n"/>
      <c r="C8" s="33" t="n"/>
      <c r="D8" s="34" t="n"/>
      <c r="E8" s="34" t="n"/>
      <c r="F8" s="34" t="n"/>
      <c r="G8" s="34" t="n"/>
    </row>
    <row r="9" ht="16.5" customHeight="1">
      <c r="A9" s="46" t="n"/>
      <c r="B9" s="46" t="n"/>
      <c r="C9" s="44" t="n"/>
      <c r="D9" s="47" t="n"/>
      <c r="E9" s="47" t="n"/>
      <c r="F9" s="47" t="n"/>
      <c r="G9" s="47" t="n"/>
    </row>
    <row r="10" ht="16.5" customHeight="1">
      <c r="A10" s="49" t="n"/>
      <c r="B10" s="44" t="n"/>
      <c r="C10" s="44" t="n"/>
      <c r="D10" s="47" t="n"/>
      <c r="E10" s="47" t="n"/>
      <c r="F10" s="47" t="n"/>
      <c r="G10" s="47" t="n"/>
    </row>
    <row r="11" ht="16.5" customHeight="1">
      <c r="A11" s="50" t="n"/>
      <c r="B11" s="51" t="n"/>
      <c r="C11" s="51" t="n"/>
      <c r="D11" s="51" t="n"/>
      <c r="E11" s="51" t="n"/>
      <c r="F11" s="51" t="n"/>
      <c r="G11" s="51" t="n"/>
    </row>
    <row r="12" ht="16.5" customHeight="1">
      <c r="A12" s="49" t="n"/>
      <c r="B12" s="44" t="n"/>
      <c r="C12" s="44" t="n"/>
      <c r="D12" s="47" t="n"/>
      <c r="E12" s="47" t="n"/>
      <c r="F12" s="47" t="n"/>
      <c r="G12" s="47" t="n"/>
    </row>
    <row r="13" ht="16.5" customHeight="1">
      <c r="A13" s="2" t="n"/>
      <c r="B13" s="2" t="n"/>
      <c r="C13" s="48" t="n"/>
      <c r="D13" s="2" t="n"/>
      <c r="E13" s="2" t="n"/>
      <c r="F13" s="47" t="n"/>
      <c r="G13" s="47" t="n"/>
    </row>
    <row r="14" ht="16.5" customHeight="1">
      <c r="A14" s="2" t="n"/>
      <c r="B14" s="2" t="n"/>
      <c r="C14" s="48" t="n"/>
      <c r="D14" s="2" t="n"/>
      <c r="E14" s="2" t="n"/>
      <c r="F14" s="47" t="n"/>
      <c r="G14" s="47" t="n"/>
    </row>
    <row r="15" ht="16.5" customHeight="1">
      <c r="A15" s="2" t="n"/>
      <c r="B15" s="2" t="n"/>
      <c r="C15" s="48" t="n"/>
      <c r="D15" s="2" t="n"/>
      <c r="E15" s="2" t="n"/>
      <c r="F15" s="47" t="n"/>
      <c r="G15" s="47" t="n"/>
    </row>
    <row r="16" ht="16.5" customHeight="1">
      <c r="A16" s="2" t="n"/>
      <c r="B16" s="2" t="n"/>
      <c r="C16" s="48" t="n"/>
      <c r="D16" s="2" t="n"/>
      <c r="E16" s="2" t="n"/>
      <c r="F16" s="47" t="n"/>
      <c r="G16" s="47" t="n"/>
    </row>
    <row r="17" ht="16.5" customHeight="1">
      <c r="A17" s="2" t="n"/>
      <c r="B17" s="2" t="n"/>
      <c r="C17" s="48" t="n"/>
      <c r="D17" s="2" t="n"/>
      <c r="E17" s="2" t="n"/>
      <c r="F17" s="47" t="n"/>
      <c r="G17" s="47" t="n"/>
    </row>
    <row r="18" ht="16.5" customHeight="1">
      <c r="A18" s="2" t="n"/>
      <c r="B18" s="2" t="n"/>
      <c r="C18" s="48" t="n"/>
      <c r="D18" s="2" t="n"/>
      <c r="E18" s="2" t="n"/>
      <c r="F18" s="47" t="n"/>
      <c r="G18" s="47" t="n"/>
    </row>
    <row r="19" ht="16.5" customHeight="1">
      <c r="A19" s="44" t="inlineStr">
        <is>
          <t>Defendant Payments to BW LLP</t>
        </is>
      </c>
      <c r="B19" s="44" t="n"/>
      <c r="C19" s="47" t="n"/>
      <c r="D19" s="55">
        <f>Payments!C5</f>
        <v/>
      </c>
      <c r="E19" s="47" t="n"/>
      <c r="F19" s="2" t="n"/>
      <c r="G19" s="2" t="n"/>
    </row>
    <row r="20" ht="16.5" customHeight="1">
      <c r="A20" s="44" t="inlineStr">
        <is>
          <t>Less - New Costs Advanced by BW LLP</t>
        </is>
      </c>
      <c r="B20" s="44" t="n"/>
      <c r="C20" s="44" t="n"/>
      <c r="D20" s="56">
        <f>-Cost!C5</f>
        <v/>
      </c>
      <c r="E20" s="44" t="n"/>
      <c r="F20" s="2" t="n"/>
      <c r="G20" s="2" t="n"/>
    </row>
    <row r="21" ht="16.5" customHeight="1">
      <c r="A21" s="44" t="inlineStr">
        <is>
          <t>Less - BW LLP Share</t>
        </is>
      </c>
      <c r="B21" s="44" t="n"/>
      <c r="C21" s="47" t="n"/>
      <c r="D21" s="57">
        <f>-Payments!F5</f>
        <v/>
      </c>
      <c r="E21" s="47" t="n"/>
      <c r="F21" s="2" t="n"/>
      <c r="G21" s="2" t="n"/>
    </row>
    <row r="22" ht="16.5" customHeight="1">
      <c r="A22" s="44" t="inlineStr">
        <is>
          <t>Net Cash Distribution</t>
        </is>
      </c>
      <c r="B22" s="44" t="n"/>
      <c r="C22" s="44" t="n"/>
      <c r="D22" s="56">
        <f>SUM(D19:D21)</f>
        <v/>
      </c>
      <c r="E22" s="44" t="n"/>
      <c r="F22" s="2" t="n"/>
      <c r="G22" s="2" t="n"/>
    </row>
    <row r="23" ht="16.5" customHeight="1">
      <c r="A23" s="44" t="n"/>
      <c r="B23" s="44" t="n"/>
      <c r="C23" s="44" t="n"/>
      <c r="D23" s="44" t="n"/>
      <c r="E23" s="44" t="n"/>
      <c r="F23" s="2" t="n"/>
      <c r="G23" s="2" t="n"/>
    </row>
    <row r="24" ht="16.5" customHeight="1">
      <c r="A24" s="2" t="n"/>
      <c r="B24" s="2" t="n"/>
      <c r="C24" s="48" t="n"/>
      <c r="D24" s="2" t="n"/>
      <c r="E24" s="2" t="n"/>
      <c r="F24" s="2" t="n"/>
      <c r="G24" s="2" t="n"/>
    </row>
    <row r="25" ht="16.5" customHeight="1">
      <c r="A25" s="2" t="n"/>
      <c r="B25" s="2" t="n"/>
      <c r="C25" s="48" t="n"/>
      <c r="D25" s="2" t="n"/>
      <c r="E25" s="2" t="n"/>
      <c r="F25" s="2" t="n"/>
      <c r="G25" s="2" t="n"/>
    </row>
    <row r="26" ht="16.5" customHeight="1">
      <c r="A26" s="2" t="n"/>
      <c r="B26" s="2" t="n"/>
      <c r="C26" s="48" t="n"/>
      <c r="D26" s="2" t="n"/>
      <c r="E26" s="2" t="n"/>
      <c r="F26" s="2" t="n"/>
      <c r="G26" s="2" t="n"/>
    </row>
    <row r="27" ht="16.5" customHeight="1">
      <c r="A27" s="2" t="n"/>
      <c r="B27" s="2" t="n"/>
      <c r="C27" s="48" t="n"/>
      <c r="D27" s="2" t="n"/>
      <c r="E27" s="2" t="n"/>
      <c r="F27" s="2" t="n"/>
      <c r="G27" s="2" t="n"/>
    </row>
    <row r="28" ht="16.5" customHeight="1">
      <c r="A28" s="2" t="n"/>
      <c r="B28" s="2" t="n"/>
      <c r="C28" s="48" t="n"/>
      <c r="D28" s="2" t="n"/>
      <c r="E28" s="2" t="n"/>
      <c r="F28" s="2" t="n"/>
      <c r="G28" s="2" t="n"/>
    </row>
  </sheetData>
  <mergeCells count="13">
    <mergeCell ref="E2:G2"/>
    <mergeCell ref="B5:D5"/>
    <mergeCell ref="A1:G1"/>
    <mergeCell ref="B3:D3"/>
    <mergeCell ref="B6:D6"/>
    <mergeCell ref="E5:G5"/>
    <mergeCell ref="B4:D4"/>
    <mergeCell ref="E4:G4"/>
    <mergeCell ref="E3:G3"/>
    <mergeCell ref="E6:G6"/>
    <mergeCell ref="B7:D7"/>
    <mergeCell ref="E7:G7"/>
    <mergeCell ref="B2:D2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E25" sqref="A8:E25"/>
    </sheetView>
  </sheetViews>
  <sheetFormatPr baseColWidth="8" defaultRowHeight="15"/>
  <cols>
    <col width="24.7109375" customWidth="1" min="1" max="1"/>
    <col width="12.7109375" customWidth="1" min="2" max="2"/>
    <col width="12.7109375" customWidth="1" style="36" min="3" max="3"/>
    <col width="12.7109375" customWidth="1" min="4" max="4"/>
    <col width="8.7109375" customWidth="1" min="5" max="7"/>
  </cols>
  <sheetData>
    <row r="1" ht="68.25" customHeight="1">
      <c r="A1" s="39" t="n"/>
    </row>
    <row r="2" ht="15.75" customHeight="1">
      <c r="A2" s="27" t="inlineStr">
        <is>
          <t>Matthew D. Bessine</t>
        </is>
      </c>
      <c r="B2" s="37" t="inlineStr">
        <is>
          <t>2900 NE 60th St, Ste 150</t>
        </is>
      </c>
      <c r="E2" s="38" t="inlineStr">
        <is>
          <t>Adam K. Berman</t>
        </is>
      </c>
    </row>
    <row r="3" ht="15.75" customHeight="1">
      <c r="A3" s="1" t="inlineStr">
        <is>
          <t>Missouri, Kansas, Iowa</t>
        </is>
      </c>
      <c r="B3" s="37" t="inlineStr">
        <is>
          <t>Kansas City MO 64119</t>
        </is>
      </c>
      <c r="E3" s="40" t="inlineStr">
        <is>
          <t>Of Counsel, Missouri, Kansas</t>
        </is>
      </c>
    </row>
    <row r="4" ht="15.75" customHeight="1">
      <c r="A4" s="28" t="inlineStr">
        <is>
          <t>Scott F. Walterbach</t>
        </is>
      </c>
      <c r="B4" s="37" t="inlineStr">
        <is>
          <t>Phone [816] 601-1100</t>
        </is>
      </c>
      <c r="E4" s="38" t="n"/>
    </row>
    <row r="5" ht="15.75" customHeight="1">
      <c r="A5" s="1" t="inlineStr">
        <is>
          <t>Missouri, Kansas</t>
        </is>
      </c>
      <c r="B5" s="37" t="inlineStr">
        <is>
          <t>Fax [816] 601-1101</t>
        </is>
      </c>
      <c r="E5" s="41" t="n"/>
    </row>
    <row r="6" ht="15.75" customHeight="1">
      <c r="A6" s="39" t="n"/>
      <c r="B6" s="37" t="inlineStr">
        <is>
          <t>admin@bw-llp.com</t>
        </is>
      </c>
      <c r="E6" s="39" t="n"/>
    </row>
    <row r="7" ht="15.75" customHeight="1">
      <c r="A7" s="39" t="n"/>
      <c r="B7" s="37" t="inlineStr">
        <is>
          <t>www.bw-llp.com</t>
        </is>
      </c>
      <c r="E7" s="39" t="n"/>
    </row>
    <row r="8" ht="16.5" customHeight="1">
      <c r="A8" s="46" t="n"/>
      <c r="B8" s="10" t="n"/>
      <c r="C8" s="44" t="n"/>
      <c r="D8" s="47" t="n"/>
      <c r="E8" s="47" t="n"/>
      <c r="F8" s="47" t="n"/>
      <c r="G8" s="47" t="n"/>
      <c r="H8" s="2" t="n"/>
    </row>
    <row r="9" ht="16.5" customHeight="1">
      <c r="A9" s="46" t="n"/>
      <c r="B9" s="46" t="n"/>
      <c r="C9" s="44" t="n"/>
      <c r="D9" s="47" t="n"/>
      <c r="E9" s="47" t="n"/>
      <c r="F9" s="47" t="n"/>
      <c r="G9" s="47" t="n"/>
      <c r="H9" s="2" t="n"/>
    </row>
    <row r="10" ht="16.5" customHeight="1">
      <c r="A10" s="49" t="n"/>
      <c r="B10" s="44" t="n"/>
      <c r="C10" s="44" t="n"/>
      <c r="D10" s="47" t="n"/>
      <c r="E10" s="47" t="n"/>
      <c r="F10" s="47" t="n"/>
      <c r="G10" s="47" t="n"/>
      <c r="H10" s="2" t="n"/>
    </row>
    <row r="11" ht="16.5" customHeight="1">
      <c r="A11" s="50" t="n"/>
      <c r="B11" s="51" t="n"/>
      <c r="C11" s="51" t="n"/>
      <c r="D11" s="51" t="n"/>
      <c r="E11" s="51" t="n"/>
      <c r="F11" s="51" t="n"/>
      <c r="G11" s="51" t="n"/>
      <c r="H11" s="2" t="n"/>
    </row>
    <row r="12" ht="16.5" customHeight="1">
      <c r="A12" s="49" t="n"/>
      <c r="B12" s="44" t="n"/>
      <c r="C12" s="44" t="n"/>
      <c r="D12" s="47" t="n"/>
      <c r="E12" s="47" t="n"/>
      <c r="F12" s="47" t="n"/>
      <c r="G12" s="47" t="n"/>
      <c r="H12" s="2" t="n"/>
    </row>
    <row r="13" ht="16.5" customHeight="1">
      <c r="A13" s="2" t="n"/>
      <c r="B13" s="2" t="n"/>
      <c r="C13" s="48" t="n"/>
      <c r="D13" s="2" t="n"/>
      <c r="E13" s="2" t="n"/>
      <c r="F13" s="47" t="n"/>
      <c r="G13" s="47" t="n"/>
      <c r="H13" s="2" t="n"/>
    </row>
    <row r="14" ht="16.5" customHeight="1">
      <c r="A14" s="2" t="n"/>
      <c r="B14" s="2" t="n"/>
      <c r="C14" s="48" t="n"/>
      <c r="D14" s="2" t="n"/>
      <c r="E14" s="2" t="n"/>
      <c r="F14" s="47" t="n"/>
      <c r="G14" s="47" t="n"/>
      <c r="H14" s="2" t="n"/>
    </row>
    <row r="15" ht="16.5" customHeight="1">
      <c r="A15" s="2" t="n"/>
      <c r="B15" s="2" t="n"/>
      <c r="C15" s="48" t="n"/>
      <c r="D15" s="2" t="n"/>
      <c r="E15" s="2" t="n"/>
      <c r="F15" s="47" t="n"/>
      <c r="G15" s="47" t="n"/>
      <c r="H15" s="2" t="n"/>
    </row>
    <row r="16" ht="16.5" customHeight="1">
      <c r="A16" s="2" t="n"/>
      <c r="B16" s="2" t="n"/>
      <c r="C16" s="48" t="n"/>
      <c r="D16" s="2" t="n"/>
      <c r="E16" s="2" t="n"/>
      <c r="F16" s="47" t="n"/>
      <c r="G16" s="47" t="n"/>
      <c r="H16" s="2" t="n"/>
    </row>
    <row r="17" ht="16.5" customHeight="1">
      <c r="A17" s="2" t="n"/>
      <c r="B17" s="2" t="n"/>
      <c r="C17" s="48" t="n"/>
      <c r="D17" s="2" t="n"/>
      <c r="E17" s="2" t="n"/>
      <c r="F17" s="47" t="n"/>
      <c r="G17" s="47" t="n"/>
      <c r="H17" s="2" t="n"/>
    </row>
    <row r="18" ht="16.5" customHeight="1">
      <c r="A18" s="2" t="n"/>
      <c r="B18" s="2" t="n"/>
      <c r="C18" s="48" t="n"/>
      <c r="D18" s="2" t="n"/>
      <c r="E18" s="2" t="n"/>
      <c r="F18" s="47" t="n"/>
      <c r="G18" s="47" t="n"/>
      <c r="H18" s="2" t="n"/>
    </row>
    <row r="19" ht="16.5" customHeight="1">
      <c r="A19" s="44" t="inlineStr">
        <is>
          <t>Defendant Payments to BW LLP</t>
        </is>
      </c>
      <c r="B19" s="44" t="n"/>
      <c r="C19" s="47" t="n"/>
      <c r="D19" s="55">
        <f>Payments!C5</f>
        <v/>
      </c>
      <c r="E19" s="47" t="n"/>
      <c r="F19" s="2" t="n"/>
      <c r="G19" s="2" t="n"/>
      <c r="H19" s="2" t="n"/>
    </row>
    <row r="20" ht="16.5" customHeight="1">
      <c r="A20" s="44" t="inlineStr">
        <is>
          <t>Less - BW LLP Share</t>
        </is>
      </c>
      <c r="B20" s="44" t="n"/>
      <c r="C20" s="47" t="n"/>
      <c r="D20" s="57">
        <f>-Payments!F5</f>
        <v/>
      </c>
      <c r="E20" s="47" t="n"/>
      <c r="F20" s="2" t="n"/>
      <c r="G20" s="2" t="n"/>
      <c r="H20" s="2" t="n"/>
    </row>
    <row r="21" ht="16.5" customHeight="1">
      <c r="A21" s="44" t="inlineStr">
        <is>
          <t>Net Cash Distribution</t>
        </is>
      </c>
      <c r="B21" s="44" t="n"/>
      <c r="C21" s="44" t="n"/>
      <c r="D21" s="58">
        <f>SUM(D19:D20)</f>
        <v/>
      </c>
      <c r="E21" s="44" t="n"/>
      <c r="F21" s="2" t="n"/>
      <c r="G21" s="2" t="n"/>
      <c r="H21" s="2" t="n"/>
    </row>
    <row r="22" ht="16.5" customHeight="1">
      <c r="A22" s="44" t="n"/>
      <c r="B22" s="44" t="n"/>
      <c r="C22" s="44" t="n"/>
      <c r="D22" s="2" t="n"/>
      <c r="E22" s="44" t="n"/>
      <c r="F22" s="2" t="n"/>
      <c r="G22" s="2" t="n"/>
      <c r="H22" s="2" t="n"/>
    </row>
    <row r="23" ht="16.5" customHeight="1">
      <c r="A23" s="44" t="inlineStr">
        <is>
          <t>Total Due for New Costs Advanced by BW LLP</t>
        </is>
      </c>
      <c r="B23" s="44" t="n"/>
      <c r="C23" s="44" t="n"/>
      <c r="D23" s="59">
        <f>Cost!C5</f>
        <v/>
      </c>
      <c r="E23" s="44" t="n"/>
      <c r="F23" s="2" t="n"/>
      <c r="G23" s="2" t="n"/>
      <c r="H23" s="2" t="n"/>
    </row>
    <row r="24" ht="16.5" customHeight="1">
      <c r="A24" s="2" t="n"/>
      <c r="B24" s="2" t="n"/>
      <c r="C24" s="48" t="n"/>
      <c r="D24" s="2" t="n"/>
      <c r="E24" s="2" t="n"/>
      <c r="F24" s="2" t="n"/>
      <c r="G24" s="2" t="n"/>
      <c r="H24" s="2" t="n"/>
    </row>
    <row r="25" ht="16.5" customHeight="1">
      <c r="A25" s="2" t="n"/>
      <c r="B25" s="2" t="n"/>
      <c r="C25" s="48" t="n"/>
      <c r="D25" s="2" t="n"/>
      <c r="E25" s="2" t="n"/>
      <c r="F25" s="2" t="n"/>
      <c r="G25" s="2" t="n"/>
      <c r="H25" s="2" t="n"/>
    </row>
    <row r="26" ht="16.5" customHeight="1">
      <c r="A26" s="2" t="n"/>
      <c r="B26" s="2" t="n"/>
      <c r="C26" s="48" t="n"/>
      <c r="D26" s="2" t="n"/>
      <c r="E26" s="2" t="n"/>
      <c r="F26" s="2" t="n"/>
      <c r="G26" s="2" t="n"/>
      <c r="H26" s="2" t="n"/>
    </row>
  </sheetData>
  <mergeCells count="13">
    <mergeCell ref="E2:G2"/>
    <mergeCell ref="B5:D5"/>
    <mergeCell ref="A1:G1"/>
    <mergeCell ref="B3:D3"/>
    <mergeCell ref="B6:D6"/>
    <mergeCell ref="E5:G5"/>
    <mergeCell ref="B4:D4"/>
    <mergeCell ref="E4:G4"/>
    <mergeCell ref="E3:G3"/>
    <mergeCell ref="E6:G6"/>
    <mergeCell ref="B7:D7"/>
    <mergeCell ref="E7:G7"/>
    <mergeCell ref="B2:D2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H25" sqref="H25"/>
    </sheetView>
  </sheetViews>
  <sheetFormatPr baseColWidth="8" defaultRowHeight="15"/>
  <cols>
    <col width="24.7109375" customWidth="1" min="1" max="1"/>
    <col width="12.7109375" customWidth="1" min="2" max="2"/>
    <col width="12.7109375" customWidth="1" style="36" min="3" max="3"/>
    <col width="12.7109375" customWidth="1" min="4" max="4"/>
    <col width="8.7109375" customWidth="1" min="5" max="7"/>
  </cols>
  <sheetData>
    <row r="1" ht="68.25" customHeight="1">
      <c r="A1" s="39" t="n"/>
    </row>
    <row r="2" ht="15.75" customHeight="1">
      <c r="A2" s="27" t="inlineStr">
        <is>
          <t>Matthew D. Bessine</t>
        </is>
      </c>
      <c r="B2" s="37" t="inlineStr">
        <is>
          <t>2900 NE 60th St, Ste 150</t>
        </is>
      </c>
      <c r="E2" s="38" t="inlineStr">
        <is>
          <t>Adam K. Berman</t>
        </is>
      </c>
    </row>
    <row r="3" ht="15.75" customHeight="1">
      <c r="A3" s="1" t="inlineStr">
        <is>
          <t>Missouri, Kansas, Iowa</t>
        </is>
      </c>
      <c r="B3" s="37" t="inlineStr">
        <is>
          <t>Kansas City MO 64119</t>
        </is>
      </c>
      <c r="E3" s="40" t="inlineStr">
        <is>
          <t>Of Counsel, Missouri, Kansas</t>
        </is>
      </c>
    </row>
    <row r="4" ht="15.75" customHeight="1">
      <c r="A4" s="28" t="inlineStr">
        <is>
          <t>Scott F. Walterbach</t>
        </is>
      </c>
      <c r="B4" s="37" t="inlineStr">
        <is>
          <t>Phone [816] 601-1100</t>
        </is>
      </c>
      <c r="E4" s="38" t="n"/>
    </row>
    <row r="5" ht="15.75" customHeight="1">
      <c r="A5" s="1" t="inlineStr">
        <is>
          <t>Missouri, Kansas</t>
        </is>
      </c>
      <c r="B5" s="37" t="inlineStr">
        <is>
          <t>Fax [816] 601-1101</t>
        </is>
      </c>
      <c r="E5" s="41" t="n"/>
    </row>
    <row r="6" ht="15.75" customHeight="1">
      <c r="A6" s="39" t="n"/>
      <c r="B6" s="37" t="inlineStr">
        <is>
          <t>admin@bw-llp.com</t>
        </is>
      </c>
      <c r="E6" s="39" t="n"/>
    </row>
    <row r="7" ht="15.75" customHeight="1">
      <c r="A7" s="39" t="n"/>
      <c r="B7" s="37" t="inlineStr">
        <is>
          <t>www.bw-llp.com</t>
        </is>
      </c>
      <c r="E7" s="39" t="n"/>
    </row>
    <row r="8">
      <c r="A8" s="52" t="n"/>
      <c r="B8" s="53" t="n"/>
      <c r="C8" s="54" t="n"/>
      <c r="D8" s="34" t="n"/>
      <c r="E8" s="34" t="n"/>
      <c r="F8" s="34" t="n"/>
      <c r="G8" s="34" t="n"/>
    </row>
    <row r="9" ht="16.5" customHeight="1">
      <c r="A9" s="46" t="n"/>
      <c r="B9" s="46" t="n"/>
      <c r="C9" s="44" t="n"/>
      <c r="D9" s="47" t="n"/>
      <c r="E9" s="47" t="n"/>
      <c r="F9" s="47" t="n"/>
      <c r="G9" s="34" t="n"/>
    </row>
    <row r="10" ht="16.5" customHeight="1">
      <c r="A10" s="49" t="n"/>
      <c r="B10" s="44" t="n"/>
      <c r="C10" s="44" t="n"/>
      <c r="D10" s="47" t="n"/>
      <c r="E10" s="47" t="n"/>
      <c r="F10" s="47" t="n"/>
      <c r="G10" s="34" t="n"/>
    </row>
    <row r="11" ht="16.5" customHeight="1">
      <c r="A11" s="50" t="n"/>
      <c r="B11" s="51" t="n"/>
      <c r="C11" s="51" t="n"/>
      <c r="D11" s="51" t="n"/>
      <c r="E11" s="51" t="n"/>
      <c r="F11" s="51" t="n"/>
      <c r="G11" s="35" t="n"/>
    </row>
    <row r="12" ht="16.5" customHeight="1">
      <c r="A12" s="49" t="n"/>
      <c r="B12" s="44" t="n"/>
      <c r="C12" s="44" t="n"/>
      <c r="D12" s="47" t="n"/>
      <c r="E12" s="47" t="n"/>
      <c r="F12" s="47" t="n"/>
      <c r="G12" s="34" t="n"/>
    </row>
    <row r="13" ht="16.5" customHeight="1">
      <c r="A13" s="2" t="n"/>
      <c r="B13" s="2" t="n"/>
      <c r="C13" s="48" t="n"/>
      <c r="D13" s="2" t="n"/>
      <c r="E13" s="2" t="n"/>
      <c r="F13" s="47" t="n"/>
      <c r="G13" s="34" t="n"/>
    </row>
    <row r="14" ht="16.5" customHeight="1">
      <c r="A14" s="2" t="n"/>
      <c r="B14" s="2" t="n"/>
      <c r="C14" s="48" t="n"/>
      <c r="D14" s="2" t="n"/>
      <c r="E14" s="2" t="n"/>
      <c r="F14" s="47" t="n"/>
      <c r="G14" s="34" t="n"/>
    </row>
    <row r="15" ht="16.5" customHeight="1">
      <c r="A15" s="2" t="n"/>
      <c r="B15" s="2" t="n"/>
      <c r="C15" s="48" t="n"/>
      <c r="D15" s="2" t="n"/>
      <c r="E15" s="2" t="n"/>
      <c r="F15" s="47" t="n"/>
      <c r="G15" s="34" t="n"/>
    </row>
    <row r="16" ht="16.5" customHeight="1">
      <c r="A16" s="2" t="n"/>
      <c r="B16" s="2" t="n"/>
      <c r="C16" s="48" t="n"/>
      <c r="D16" s="2" t="n"/>
      <c r="E16" s="2" t="n"/>
      <c r="F16" s="47" t="n"/>
      <c r="G16" s="34" t="n"/>
    </row>
    <row r="17" ht="16.5" customHeight="1">
      <c r="A17" s="2" t="n"/>
      <c r="B17" s="2" t="n"/>
      <c r="C17" s="48" t="n"/>
      <c r="D17" s="2" t="n"/>
      <c r="E17" s="2" t="n"/>
      <c r="F17" s="47" t="n"/>
      <c r="G17" s="34" t="n"/>
    </row>
    <row r="18" ht="16.5" customHeight="1">
      <c r="A18" s="2" t="n"/>
      <c r="B18" s="2" t="n"/>
      <c r="C18" s="48" t="n"/>
      <c r="D18" s="2" t="n"/>
      <c r="E18" s="2" t="n"/>
      <c r="F18" s="47" t="n"/>
      <c r="G18" s="34" t="n"/>
    </row>
    <row r="19" ht="16.5" customHeight="1">
      <c r="A19" s="44" t="inlineStr">
        <is>
          <t>Defendant Payments to BW LLP</t>
        </is>
      </c>
      <c r="B19" s="44" t="n"/>
      <c r="C19" s="47" t="n"/>
      <c r="D19" s="55">
        <f>Payments!C5</f>
        <v/>
      </c>
      <c r="E19" s="47" t="n"/>
      <c r="F19" s="2" t="n"/>
    </row>
    <row r="20" ht="16.5" customHeight="1">
      <c r="A20" s="2" t="n"/>
      <c r="B20" s="2" t="n"/>
      <c r="C20" s="48" t="n"/>
      <c r="D20" s="56" t="n"/>
      <c r="E20" s="2" t="n"/>
      <c r="F20" s="2" t="n"/>
    </row>
    <row r="21" ht="16.5" customHeight="1">
      <c r="A21" s="44" t="inlineStr">
        <is>
          <t>BW LLP Share</t>
        </is>
      </c>
      <c r="B21" s="44" t="n"/>
      <c r="C21" s="47" t="n"/>
      <c r="D21" s="56">
        <f>Payments!F5</f>
        <v/>
      </c>
      <c r="E21" s="47" t="n"/>
      <c r="F21" s="2" t="n"/>
    </row>
    <row r="22" ht="16.5" customHeight="1">
      <c r="A22" s="44" t="inlineStr">
        <is>
          <t>New Costs Advanced by BW LLP</t>
        </is>
      </c>
      <c r="B22" s="44" t="n"/>
      <c r="C22" s="44" t="n"/>
      <c r="D22" s="57">
        <f>Cost!C5</f>
        <v/>
      </c>
      <c r="E22" s="44" t="n"/>
      <c r="F22" s="2" t="n"/>
    </row>
    <row r="23" ht="16.5" customHeight="1">
      <c r="A23" s="44" t="inlineStr">
        <is>
          <t>Total Due to BW LLP</t>
        </is>
      </c>
      <c r="B23" s="44" t="n"/>
      <c r="C23" s="44" t="n"/>
      <c r="D23" s="60">
        <f>SUM(D21:D22)</f>
        <v/>
      </c>
      <c r="E23" s="44" t="n"/>
      <c r="F23" s="2" t="n"/>
    </row>
    <row r="24" ht="16.5" customHeight="1">
      <c r="A24" s="2" t="n"/>
      <c r="B24" s="2" t="n"/>
      <c r="C24" s="48" t="n"/>
      <c r="D24" s="2" t="n"/>
      <c r="E24" s="2" t="n"/>
      <c r="F24" s="2" t="n"/>
    </row>
    <row r="25" ht="16.5" customHeight="1">
      <c r="A25" s="2" t="n"/>
      <c r="B25" s="2" t="n"/>
      <c r="C25" s="48" t="n"/>
      <c r="D25" s="2" t="n"/>
      <c r="E25" s="2" t="n"/>
      <c r="F25" s="2" t="n"/>
    </row>
    <row r="26" ht="16.5" customHeight="1">
      <c r="A26" s="2" t="n"/>
      <c r="B26" s="2" t="n"/>
      <c r="C26" s="48" t="n"/>
      <c r="D26" s="2" t="n"/>
      <c r="E26" s="2" t="n"/>
      <c r="F26" s="2" t="n"/>
    </row>
  </sheetData>
  <mergeCells count="13">
    <mergeCell ref="E2:G2"/>
    <mergeCell ref="B5:D5"/>
    <mergeCell ref="A1:G1"/>
    <mergeCell ref="B3:D3"/>
    <mergeCell ref="B6:D6"/>
    <mergeCell ref="E5:G5"/>
    <mergeCell ref="B4:D4"/>
    <mergeCell ref="E4:G4"/>
    <mergeCell ref="E3:G3"/>
    <mergeCell ref="E6:G6"/>
    <mergeCell ref="B7:D7"/>
    <mergeCell ref="E7:G7"/>
    <mergeCell ref="B2:D2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F18" sqref="F18"/>
    </sheetView>
  </sheetViews>
  <sheetFormatPr baseColWidth="8" defaultRowHeight="16.5"/>
  <cols>
    <col width="37.7109375" customWidth="1" style="2" min="1" max="1"/>
    <col width="28.28515625" customWidth="1" style="2" min="2" max="2"/>
    <col width="18.85546875" customWidth="1" style="61" min="3" max="3"/>
    <col width="17" bestFit="1" customWidth="1" style="61" min="4" max="4"/>
    <col width="25.140625" customWidth="1" style="61" min="5" max="5"/>
    <col width="16.5703125" customWidth="1" style="61" min="6" max="6"/>
    <col width="17.28515625" customWidth="1" style="2" min="7" max="7"/>
    <col width="23.7109375" customWidth="1" style="61" min="8" max="8"/>
    <col width="23.42578125" customWidth="1" style="61" min="9" max="9"/>
    <col width="9.140625" customWidth="1" style="2" min="10" max="16384"/>
  </cols>
  <sheetData>
    <row r="1">
      <c r="A1" s="62" t="inlineStr">
        <is>
          <t>JAMESON AND DUNAGAN, P.C.</t>
        </is>
      </c>
      <c r="H1" s="63" t="n"/>
      <c r="I1" s="64" t="n"/>
      <c r="J1" s="44" t="n"/>
      <c r="K1" s="44" t="n"/>
    </row>
    <row r="2">
      <c r="A2" s="62" t="inlineStr">
        <is>
          <t>Payments Thru 10-19-2026</t>
        </is>
      </c>
      <c r="H2" s="64" t="n"/>
      <c r="I2" s="64" t="n"/>
      <c r="J2" s="44" t="n"/>
      <c r="K2" s="44" t="n"/>
    </row>
    <row r="3">
      <c r="A3" s="44" t="n"/>
      <c r="B3" s="16" t="n"/>
      <c r="C3" s="64" t="n"/>
      <c r="D3" s="64" t="n"/>
      <c r="E3" s="64" t="n"/>
      <c r="F3" s="64" t="n"/>
      <c r="G3" s="44" t="n"/>
      <c r="I3" s="65" t="n"/>
      <c r="J3" s="44" t="n"/>
      <c r="K3" s="44" t="n"/>
    </row>
    <row r="4">
      <c r="A4" s="44" t="n"/>
      <c r="B4" s="16" t="n"/>
      <c r="C4" s="64" t="n"/>
      <c r="D4" s="64" t="n"/>
      <c r="E4" s="66" t="n">
        <v>0.8</v>
      </c>
      <c r="F4" s="66" t="n">
        <v>0.2</v>
      </c>
      <c r="G4" s="44" t="n"/>
      <c r="I4" s="65" t="n"/>
      <c r="J4" s="64" t="n"/>
      <c r="K4" s="44" t="n"/>
    </row>
    <row r="5">
      <c r="A5" s="46" t="n"/>
      <c r="B5" s="62" t="inlineStr">
        <is>
          <t>Total</t>
        </is>
      </c>
      <c r="C5" s="67">
        <f>SUM(C8:C8)</f>
        <v/>
      </c>
      <c r="D5" s="67">
        <f>SUM(D8:D8)</f>
        <v/>
      </c>
      <c r="E5" s="67">
        <f>ROUND(C5*E4,2)</f>
        <v/>
      </c>
      <c r="F5" s="67">
        <f>ROUND(C5*F4,2)</f>
        <v/>
      </c>
      <c r="G5" s="46" t="n"/>
      <c r="I5" s="68" t="n"/>
      <c r="J5" s="44" t="n"/>
      <c r="K5" s="44" t="n"/>
    </row>
    <row r="6">
      <c r="A6" s="44" t="n"/>
      <c r="B6" s="16" t="n"/>
      <c r="C6" s="64" t="n"/>
      <c r="D6" s="64" t="n"/>
      <c r="E6" s="64" t="n"/>
      <c r="F6" s="64" t="n"/>
      <c r="G6" s="44" t="n"/>
      <c r="I6" s="64" t="n"/>
      <c r="J6" s="44" t="n"/>
      <c r="K6" s="44" t="n"/>
    </row>
    <row r="7" ht="23.25" customHeight="1">
      <c r="A7" s="45" t="inlineStr">
        <is>
          <t>DEFENDANT'S NAME</t>
        </is>
      </c>
      <c r="B7" s="45" t="inlineStr">
        <is>
          <t>REF NO.</t>
        </is>
      </c>
      <c r="C7" s="69" t="inlineStr">
        <is>
          <t>AMOUNT PAID</t>
        </is>
      </c>
      <c r="D7" s="69" t="inlineStr">
        <is>
          <t>DIRECT PAYMENT</t>
        </is>
      </c>
      <c r="E7" s="69" t="inlineStr">
        <is>
          <t>CLIENT SHARE</t>
        </is>
      </c>
      <c r="F7" s="69" t="inlineStr">
        <is>
          <t>BW, LLP SHARE</t>
        </is>
      </c>
      <c r="G7" s="43" t="inlineStr">
        <is>
          <t>Notes</t>
        </is>
      </c>
      <c r="H7" s="69" t="n"/>
      <c r="I7" s="69" t="n"/>
      <c r="J7" s="43" t="n"/>
      <c r="K7" s="44" t="n"/>
    </row>
    <row r="8">
      <c r="A8" t="inlineStr">
        <is>
          <t>BROSSHVAC, L.L.C.</t>
        </is>
      </c>
      <c r="C8" s="70" t="n">
        <v>840</v>
      </c>
      <c r="D8" s="70" t="n">
        <v>0</v>
      </c>
      <c r="E8" s="70" t="n">
        <v>672</v>
      </c>
      <c r="F8" s="70" t="n">
        <v>168</v>
      </c>
    </row>
  </sheetData>
  <mergeCells count="6">
    <mergeCell ref="G4:H4"/>
    <mergeCell ref="A1:G1"/>
    <mergeCell ref="G5:H5"/>
    <mergeCell ref="A2:G2"/>
    <mergeCell ref="G6:H6"/>
    <mergeCell ref="G3:H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C5" sqref="C5"/>
    </sheetView>
  </sheetViews>
  <sheetFormatPr baseColWidth="8" defaultRowHeight="16.5"/>
  <cols>
    <col width="37.5703125" customWidth="1" style="2" min="1" max="1"/>
    <col width="26.140625" customWidth="1" style="2" min="2" max="2"/>
    <col width="31.7109375" customWidth="1" style="71" min="3" max="3"/>
    <col width="41.5703125" customWidth="1" style="2" min="4" max="4"/>
    <col width="46.28515625" customWidth="1" style="2" min="5" max="5"/>
    <col width="54.7109375" customWidth="1" style="2" min="6" max="6"/>
    <col width="9.140625" customWidth="1" style="2" min="7" max="16384"/>
  </cols>
  <sheetData>
    <row r="1">
      <c r="B1" s="62" t="inlineStr">
        <is>
          <t>JAMESON AND DUNAGAN, P.C.</t>
        </is>
      </c>
    </row>
    <row r="2">
      <c r="B2" s="62" t="inlineStr">
        <is>
          <t>Costs Thru 10-19-2026</t>
        </is>
      </c>
    </row>
    <row r="3">
      <c r="B3" s="44" t="n"/>
      <c r="C3" s="72" t="n"/>
      <c r="D3" s="44" t="n"/>
      <c r="E3" s="8" t="inlineStr">
        <is>
          <t> </t>
        </is>
      </c>
    </row>
    <row r="4">
      <c r="B4" s="44" t="n"/>
      <c r="C4" s="72" t="n"/>
      <c r="D4" s="44" t="n"/>
      <c r="E4" s="8" t="n"/>
    </row>
    <row r="5">
      <c r="B5" s="74" t="inlineStr">
        <is>
          <t>Total</t>
        </is>
      </c>
      <c r="C5" s="75">
        <f>SUM(C8:C8)</f>
        <v/>
      </c>
      <c r="E5" s="10" t="n"/>
    </row>
    <row r="6">
      <c r="C6" s="71" t="n"/>
    </row>
    <row r="7" ht="26.25" customHeight="1">
      <c r="A7" s="45" t="inlineStr">
        <is>
          <t>DEFENDANT'S NAME</t>
        </is>
      </c>
      <c r="B7" s="45" t="inlineStr">
        <is>
          <t>REF NO.</t>
        </is>
      </c>
      <c r="C7" s="73" t="inlineStr">
        <is>
          <t>AMOUNT</t>
        </is>
      </c>
      <c r="D7" s="43" t="inlineStr">
        <is>
          <t>COST REASON</t>
        </is>
      </c>
      <c r="E7" s="45" t="inlineStr">
        <is>
          <t>Date</t>
        </is>
      </c>
      <c r="F7" s="43" t="inlineStr">
        <is>
          <t>Notes</t>
        </is>
      </c>
    </row>
  </sheetData>
  <mergeCells count="2">
    <mergeCell ref="B1:E1"/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2015-06-05T18:17:20Z</dcterms:created>
  <dcterms:modified xsi:type="dcterms:W3CDTF">2026-10-19T05:58:01Z</dcterms:modified>
  <cp:lastModifiedBy>Parvathynathan K</cp:lastModifiedBy>
</cp:coreProperties>
</file>
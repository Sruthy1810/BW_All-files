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Payments" sheetId="4" state="visible" r:id="rId4"/>
    <sheet name="Co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$-409]#,##0.00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&quot;$&quot;#,##0.00"/>
    <numFmt numFmtId="168" formatCode="yyyy-mm-dd"/>
    <numFmt numFmtId="169" formatCode="mm/dd/yyyy"/>
  </numFmts>
  <fonts count="17">
    <font>
      <name val="Calibri"/>
      <family val="2"/>
      <color theme="1"/>
      <sz val="11"/>
      <scheme val="minor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i val="1"/>
      <sz val="11"/>
    </font>
    <font>
      <name val="Times New Roman"/>
      <family val="1"/>
      <color rgb="FF000000"/>
      <sz val="12"/>
    </font>
    <font>
      <name val="Calibri"/>
      <family val="2"/>
      <color rgb="FF00000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 Narrow"/>
      <family val="2"/>
      <color rgb="FF000000"/>
      <sz val="11"/>
    </font>
    <font>
      <name val="Arial"/>
      <family val="2"/>
      <b val="1"/>
      <sz val="11"/>
    </font>
    <font>
      <name val="Arial"/>
      <family val="2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1"/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0">
      <alignment wrapText="1"/>
    </xf>
    <xf numFmtId="2" fontId="5" fillId="0" borderId="0" applyAlignment="1" pivotButton="0" quotePrefix="0" xfId="1">
      <alignment horizontal="center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horizontal="center" wrapText="1"/>
    </xf>
    <xf numFmtId="164" fontId="4" fillId="0" borderId="0" pivotButton="0" quotePrefix="0" xfId="0"/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5" fontId="4" fillId="2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6" fontId="6" fillId="2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vertical="top" wrapText="1"/>
    </xf>
    <xf numFmtId="2" fontId="0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165" fontId="4" fillId="2" borderId="0" pivotButton="0" quotePrefix="0" xfId="0"/>
    <xf numFmtId="166" fontId="6" fillId="2" borderId="0" pivotButton="0" quotePrefix="0" xfId="0"/>
    <xf numFmtId="164" fontId="4" fillId="0" borderId="0" pivotButton="0" quotePrefix="0" xfId="0"/>
    <xf numFmtId="0" fontId="1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9" fontId="16" fillId="0" borderId="0" applyAlignment="1" pivotButton="0" quotePrefix="0" xfId="0">
      <alignment horizontal="center"/>
    </xf>
    <xf numFmtId="167" fontId="16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7" fontId="0" fillId="0" borderId="0" pivotButton="0" quotePrefix="0" xfId="0"/>
    <xf numFmtId="164" fontId="4" fillId="0" borderId="0" pivotButton="0" quotePrefix="0" xfId="1"/>
    <xf numFmtId="164" fontId="6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2" fontId="16" fillId="0" borderId="0" applyAlignment="1" pivotButton="0" quotePrefix="0" xfId="1">
      <alignment horizontal="center"/>
    </xf>
    <xf numFmtId="167" fontId="16" fillId="0" borderId="0" pivotButton="0" quotePrefix="0" xfId="1"/>
    <xf numFmtId="169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</rowOff>
    </from>
    <to>
      <col>6</col>
      <colOff>523875</colOff>
      <row>0</row>
      <rowOff>857251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1"/>
          <a:ext cx="5876925" cy="8572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E23" sqref="E23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31" t="n"/>
      <c r="B8" s="32" t="n"/>
      <c r="C8" s="33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</row>
    <row r="20" ht="16.5" customHeight="1">
      <c r="A20" s="44" t="inlineStr">
        <is>
          <t>Less - New Costs Advanced by BW LLP</t>
        </is>
      </c>
      <c r="B20" s="44" t="n"/>
      <c r="C20" s="44" t="n"/>
      <c r="D20" s="56">
        <f>-Cost!C5</f>
        <v/>
      </c>
      <c r="E20" s="44" t="n"/>
      <c r="F20" s="2" t="n"/>
      <c r="G20" s="2" t="n"/>
    </row>
    <row r="21" ht="16.5" customHeight="1">
      <c r="A21" s="44" t="inlineStr">
        <is>
          <t>Less - BW LLP Share</t>
        </is>
      </c>
      <c r="B21" s="44" t="n"/>
      <c r="C21" s="47" t="n"/>
      <c r="D21" s="57">
        <f>-Payments!F5</f>
        <v/>
      </c>
      <c r="E21" s="47" t="n"/>
      <c r="F21" s="2" t="n"/>
      <c r="G21" s="2" t="n"/>
    </row>
    <row r="22" ht="16.5" customHeight="1">
      <c r="A22" s="44" t="inlineStr">
        <is>
          <t>Net Cash Distribution</t>
        </is>
      </c>
      <c r="B22" s="44" t="n"/>
      <c r="C22" s="44" t="n"/>
      <c r="D22" s="56">
        <f>SUM(D19:D21)</f>
        <v/>
      </c>
      <c r="E22" s="44" t="n"/>
      <c r="F22" s="2" t="n"/>
      <c r="G22" s="2" t="n"/>
    </row>
    <row r="23" ht="16.5" customHeight="1">
      <c r="A23" s="44" t="n"/>
      <c r="B23" s="44" t="n"/>
      <c r="C23" s="44" t="n"/>
      <c r="D23" s="44" t="n"/>
      <c r="E23" s="44" t="n"/>
      <c r="F23" s="2" t="n"/>
      <c r="G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</row>
    <row r="27" ht="16.5" customHeight="1">
      <c r="A27" s="2" t="n"/>
      <c r="B27" s="2" t="n"/>
      <c r="C27" s="48" t="n"/>
      <c r="D27" s="2" t="n"/>
      <c r="E27" s="2" t="n"/>
      <c r="F27" s="2" t="n"/>
      <c r="G27" s="2" t="n"/>
    </row>
    <row r="28" ht="16.5" customHeight="1">
      <c r="A28" s="2" t="n"/>
      <c r="B28" s="2" t="n"/>
      <c r="C28" s="48" t="n"/>
      <c r="D28" s="2" t="n"/>
      <c r="E28" s="2" t="n"/>
      <c r="F28" s="2" t="n"/>
      <c r="G28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E25" sqref="A8:E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 ht="16.5" customHeight="1">
      <c r="A8" s="46" t="n"/>
      <c r="B8" s="10" t="n"/>
      <c r="C8" s="44" t="n"/>
      <c r="D8" s="47" t="n"/>
      <c r="E8" s="47" t="n"/>
      <c r="F8" s="47" t="n"/>
      <c r="G8" s="47" t="n"/>
      <c r="H8" s="2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  <c r="H9" s="2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  <c r="H10" s="2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  <c r="H11" s="2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  <c r="H12" s="2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  <c r="H13" s="2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  <c r="H14" s="2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  <c r="H15" s="2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  <c r="H16" s="2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  <c r="H17" s="2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  <c r="H18" s="2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  <c r="H19" s="2" t="n"/>
    </row>
    <row r="20" ht="16.5" customHeight="1">
      <c r="A20" s="44" t="inlineStr">
        <is>
          <t>Less - BW LLP Share</t>
        </is>
      </c>
      <c r="B20" s="44" t="n"/>
      <c r="C20" s="47" t="n"/>
      <c r="D20" s="57">
        <f>-Payments!F5</f>
        <v/>
      </c>
      <c r="E20" s="47" t="n"/>
      <c r="F20" s="2" t="n"/>
      <c r="G20" s="2" t="n"/>
      <c r="H20" s="2" t="n"/>
    </row>
    <row r="21" ht="16.5" customHeight="1">
      <c r="A21" s="44" t="inlineStr">
        <is>
          <t>Net Cash Distribution</t>
        </is>
      </c>
      <c r="B21" s="44" t="n"/>
      <c r="C21" s="44" t="n"/>
      <c r="D21" s="58">
        <f>SUM(D19:D20)</f>
        <v/>
      </c>
      <c r="E21" s="44" t="n"/>
      <c r="F21" s="2" t="n"/>
      <c r="G21" s="2" t="n"/>
      <c r="H21" s="2" t="n"/>
    </row>
    <row r="22" ht="16.5" customHeight="1">
      <c r="A22" s="44" t="n"/>
      <c r="B22" s="44" t="n"/>
      <c r="C22" s="44" t="n"/>
      <c r="D22" s="2" t="n"/>
      <c r="E22" s="44" t="n"/>
      <c r="F22" s="2" t="n"/>
      <c r="G22" s="2" t="n"/>
      <c r="H22" s="2" t="n"/>
    </row>
    <row r="23" ht="16.5" customHeight="1">
      <c r="A23" s="44" t="inlineStr">
        <is>
          <t>Total Due for New Costs Advanced by BW LLP</t>
        </is>
      </c>
      <c r="B23" s="44" t="n"/>
      <c r="C23" s="44" t="n"/>
      <c r="D23" s="59">
        <f>Cost!C5</f>
        <v/>
      </c>
      <c r="E23" s="44" t="n"/>
      <c r="F23" s="2" t="n"/>
      <c r="G23" s="2" t="n"/>
      <c r="H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  <c r="H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  <c r="H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  <c r="H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H25" sqref="H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52" t="n"/>
      <c r="B8" s="53" t="n"/>
      <c r="C8" s="54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34" t="n"/>
    </row>
    <row r="10" ht="16.5" customHeight="1">
      <c r="A10" s="49" t="n"/>
      <c r="B10" s="44" t="n"/>
      <c r="C10" s="44" t="n"/>
      <c r="D10" s="47" t="n"/>
      <c r="E10" s="47" t="n"/>
      <c r="F10" s="47" t="n"/>
      <c r="G10" s="34" t="n"/>
    </row>
    <row r="11" ht="16.5" customHeight="1">
      <c r="A11" s="50" t="n"/>
      <c r="B11" s="51" t="n"/>
      <c r="C11" s="51" t="n"/>
      <c r="D11" s="51" t="n"/>
      <c r="E11" s="51" t="n"/>
      <c r="F11" s="51" t="n"/>
      <c r="G11" s="35" t="n"/>
    </row>
    <row r="12" ht="16.5" customHeight="1">
      <c r="A12" s="49" t="n"/>
      <c r="B12" s="44" t="n"/>
      <c r="C12" s="44" t="n"/>
      <c r="D12" s="47" t="n"/>
      <c r="E12" s="47" t="n"/>
      <c r="F12" s="47" t="n"/>
      <c r="G12" s="34" t="n"/>
    </row>
    <row r="13" ht="16.5" customHeight="1">
      <c r="A13" s="2" t="n"/>
      <c r="B13" s="2" t="n"/>
      <c r="C13" s="48" t="n"/>
      <c r="D13" s="2" t="n"/>
      <c r="E13" s="2" t="n"/>
      <c r="F13" s="47" t="n"/>
      <c r="G13" s="34" t="n"/>
    </row>
    <row r="14" ht="16.5" customHeight="1">
      <c r="A14" s="2" t="n"/>
      <c r="B14" s="2" t="n"/>
      <c r="C14" s="48" t="n"/>
      <c r="D14" s="2" t="n"/>
      <c r="E14" s="2" t="n"/>
      <c r="F14" s="47" t="n"/>
      <c r="G14" s="34" t="n"/>
    </row>
    <row r="15" ht="16.5" customHeight="1">
      <c r="A15" s="2" t="n"/>
      <c r="B15" s="2" t="n"/>
      <c r="C15" s="48" t="n"/>
      <c r="D15" s="2" t="n"/>
      <c r="E15" s="2" t="n"/>
      <c r="F15" s="47" t="n"/>
      <c r="G15" s="34" t="n"/>
    </row>
    <row r="16" ht="16.5" customHeight="1">
      <c r="A16" s="2" t="n"/>
      <c r="B16" s="2" t="n"/>
      <c r="C16" s="48" t="n"/>
      <c r="D16" s="2" t="n"/>
      <c r="E16" s="2" t="n"/>
      <c r="F16" s="47" t="n"/>
      <c r="G16" s="34" t="n"/>
    </row>
    <row r="17" ht="16.5" customHeight="1">
      <c r="A17" s="2" t="n"/>
      <c r="B17" s="2" t="n"/>
      <c r="C17" s="48" t="n"/>
      <c r="D17" s="2" t="n"/>
      <c r="E17" s="2" t="n"/>
      <c r="F17" s="47" t="n"/>
      <c r="G17" s="34" t="n"/>
    </row>
    <row r="18" ht="16.5" customHeight="1">
      <c r="A18" s="2" t="n"/>
      <c r="B18" s="2" t="n"/>
      <c r="C18" s="48" t="n"/>
      <c r="D18" s="2" t="n"/>
      <c r="E18" s="2" t="n"/>
      <c r="F18" s="47" t="n"/>
      <c r="G18" s="34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</row>
    <row r="20" ht="16.5" customHeight="1">
      <c r="A20" s="2" t="n"/>
      <c r="B20" s="2" t="n"/>
      <c r="C20" s="48" t="n"/>
      <c r="D20" s="56" t="n"/>
      <c r="E20" s="2" t="n"/>
      <c r="F20" s="2" t="n"/>
    </row>
    <row r="21" ht="16.5" customHeight="1">
      <c r="A21" s="44" t="inlineStr">
        <is>
          <t>BW LLP Share</t>
        </is>
      </c>
      <c r="B21" s="44" t="n"/>
      <c r="C21" s="47" t="n"/>
      <c r="D21" s="56">
        <f>Payments!F5</f>
        <v/>
      </c>
      <c r="E21" s="47" t="n"/>
      <c r="F21" s="2" t="n"/>
    </row>
    <row r="22" ht="16.5" customHeight="1">
      <c r="A22" s="44" t="inlineStr">
        <is>
          <t>New Costs Advanced by BW LLP</t>
        </is>
      </c>
      <c r="B22" s="44" t="n"/>
      <c r="C22" s="44" t="n"/>
      <c r="D22" s="57">
        <f>Cost!C5</f>
        <v/>
      </c>
      <c r="E22" s="44" t="n"/>
      <c r="F22" s="2" t="n"/>
    </row>
    <row r="23" ht="16.5" customHeight="1">
      <c r="A23" s="44" t="inlineStr">
        <is>
          <t>Total Due to BW LLP</t>
        </is>
      </c>
      <c r="B23" s="44" t="n"/>
      <c r="C23" s="44" t="n"/>
      <c r="D23" s="60">
        <f>SUM(D21:D22)</f>
        <v/>
      </c>
      <c r="E23" s="44" t="n"/>
      <c r="F23" s="2" t="n"/>
    </row>
    <row r="24" ht="16.5" customHeight="1">
      <c r="A24" s="2" t="n"/>
      <c r="B24" s="2" t="n"/>
      <c r="C24" s="48" t="n"/>
      <c r="D24" s="2" t="n"/>
      <c r="E24" s="2" t="n"/>
      <c r="F24" s="2" t="n"/>
    </row>
    <row r="25" ht="16.5" customHeight="1">
      <c r="A25" s="2" t="n"/>
      <c r="B25" s="2" t="n"/>
      <c r="C25" s="48" t="n"/>
      <c r="D25" s="2" t="n"/>
      <c r="E25" s="2" t="n"/>
      <c r="F25" s="2" t="n"/>
    </row>
    <row r="26" ht="16.5" customHeight="1">
      <c r="A26" s="2" t="n"/>
      <c r="B26" s="2" t="n"/>
      <c r="C26" s="48" t="n"/>
      <c r="D26" s="2" t="n"/>
      <c r="E26" s="2" t="n"/>
      <c r="F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F18" sqref="F18"/>
    </sheetView>
  </sheetViews>
  <sheetFormatPr baseColWidth="8" defaultRowHeight="16.5"/>
  <cols>
    <col width="37.7109375" customWidth="1" style="2" min="1" max="1"/>
    <col width="28.28515625" customWidth="1" style="2" min="2" max="2"/>
    <col width="18.85546875" customWidth="1" style="61" min="3" max="3"/>
    <col width="17" bestFit="1" customWidth="1" style="61" min="4" max="4"/>
    <col width="25.140625" customWidth="1" style="61" min="5" max="5"/>
    <col width="16.5703125" customWidth="1" style="61" min="6" max="6"/>
    <col width="17.28515625" customWidth="1" style="2" min="7" max="7"/>
    <col width="23.7109375" customWidth="1" style="61" min="8" max="8"/>
    <col width="23.42578125" customWidth="1" style="61" min="9" max="9"/>
    <col width="9.140625" customWidth="1" style="2" min="10" max="16384"/>
  </cols>
  <sheetData>
    <row r="1">
      <c r="A1" s="62" t="inlineStr">
        <is>
          <t>AUBREY THRASHER- IA</t>
        </is>
      </c>
      <c r="H1" s="63" t="n"/>
      <c r="I1" s="64" t="n"/>
      <c r="J1" s="44" t="n"/>
      <c r="K1" s="44" t="n"/>
    </row>
    <row r="2">
      <c r="A2" s="62" t="inlineStr">
        <is>
          <t>Payments Thru 10-19-2026</t>
        </is>
      </c>
      <c r="H2" s="64" t="n"/>
      <c r="I2" s="64" t="n"/>
      <c r="J2" s="44" t="n"/>
      <c r="K2" s="44" t="n"/>
    </row>
    <row r="3">
      <c r="A3" s="44" t="n"/>
      <c r="B3" s="16" t="n"/>
      <c r="C3" s="64" t="n"/>
      <c r="D3" s="64" t="n"/>
      <c r="E3" s="64" t="n"/>
      <c r="F3" s="64" t="n"/>
      <c r="G3" s="44" t="n"/>
      <c r="I3" s="65" t="n"/>
      <c r="J3" s="44" t="n"/>
      <c r="K3" s="44" t="n"/>
    </row>
    <row r="4">
      <c r="A4" s="44" t="n"/>
      <c r="B4" s="16" t="n"/>
      <c r="C4" s="64" t="n"/>
      <c r="D4" s="64" t="n"/>
      <c r="E4" s="66" t="n">
        <v>0.8</v>
      </c>
      <c r="F4" s="66" t="n">
        <v>0.2</v>
      </c>
      <c r="G4" s="44" t="n"/>
      <c r="I4" s="65" t="n"/>
      <c r="J4" s="64" t="n"/>
      <c r="K4" s="44" t="n"/>
    </row>
    <row r="5">
      <c r="A5" s="46" t="n"/>
      <c r="B5" s="62" t="inlineStr">
        <is>
          <t>Total</t>
        </is>
      </c>
      <c r="C5" s="67">
        <f>SUM(C8:C9)</f>
        <v/>
      </c>
      <c r="D5" s="67">
        <f>SUM(D8:D9)</f>
        <v/>
      </c>
      <c r="E5" s="67">
        <f>ROUND(C5*E4,2)</f>
        <v/>
      </c>
      <c r="F5" s="67">
        <f>ROUND(C5*F4,2)</f>
        <v/>
      </c>
      <c r="G5" s="46" t="n"/>
      <c r="I5" s="68" t="n"/>
      <c r="J5" s="44" t="n"/>
      <c r="K5" s="44" t="n"/>
    </row>
    <row r="6">
      <c r="A6" s="44" t="n"/>
      <c r="B6" s="16" t="n"/>
      <c r="C6" s="64" t="n"/>
      <c r="D6" s="64" t="n"/>
      <c r="E6" s="64" t="n"/>
      <c r="F6" s="64" t="n"/>
      <c r="G6" s="44" t="n"/>
      <c r="I6" s="64" t="n"/>
      <c r="J6" s="44" t="n"/>
      <c r="K6" s="44" t="n"/>
    </row>
    <row r="7" ht="23.25" customHeight="1">
      <c r="A7" s="45" t="inlineStr">
        <is>
          <t>DEFENDANT'S NAME</t>
        </is>
      </c>
      <c r="B7" s="45" t="inlineStr">
        <is>
          <t>REF NO.</t>
        </is>
      </c>
      <c r="C7" s="69" t="inlineStr">
        <is>
          <t>AMOUNT PAID</t>
        </is>
      </c>
      <c r="D7" s="69" t="inlineStr">
        <is>
          <t>DIRECT PAYMENT</t>
        </is>
      </c>
      <c r="E7" s="69" t="inlineStr">
        <is>
          <t>CLIENT SHARE</t>
        </is>
      </c>
      <c r="F7" s="69" t="inlineStr">
        <is>
          <t>BW, LLP SHARE</t>
        </is>
      </c>
      <c r="G7" s="43" t="inlineStr">
        <is>
          <t>Notes</t>
        </is>
      </c>
      <c r="H7" s="69" t="n"/>
      <c r="I7" s="69" t="n"/>
      <c r="J7" s="43" t="n"/>
      <c r="K7" s="44" t="n"/>
    </row>
    <row r="8">
      <c r="A8" t="inlineStr">
        <is>
          <t>Halftime Bar &amp; Grill LLC</t>
        </is>
      </c>
      <c r="B8" t="inlineStr">
        <is>
          <t>2025-8223</t>
        </is>
      </c>
      <c r="C8" s="70" t="n">
        <v>1000</v>
      </c>
      <c r="D8" s="70" t="n">
        <v>0</v>
      </c>
      <c r="E8" s="70" t="n">
        <v>800</v>
      </c>
      <c r="F8" s="70" t="n">
        <v>200</v>
      </c>
    </row>
    <row r="9">
      <c r="A9" t="inlineStr">
        <is>
          <t>Thorpe Excavating, Inc.</t>
        </is>
      </c>
      <c r="B9" t="inlineStr">
        <is>
          <t>2023-2548</t>
        </is>
      </c>
      <c r="C9" s="70" t="n">
        <v>17345</v>
      </c>
      <c r="D9" s="70" t="n">
        <v>0</v>
      </c>
      <c r="E9" s="70" t="n">
        <v>13876</v>
      </c>
      <c r="F9" s="70" t="n">
        <v>3469</v>
      </c>
    </row>
  </sheetData>
  <mergeCells count="6">
    <mergeCell ref="G4:H4"/>
    <mergeCell ref="A1:G1"/>
    <mergeCell ref="G5:H5"/>
    <mergeCell ref="A2:G2"/>
    <mergeCell ref="G6:H6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C5" sqref="C5"/>
    </sheetView>
  </sheetViews>
  <sheetFormatPr baseColWidth="8" defaultRowHeight="16.5"/>
  <cols>
    <col width="37.5703125" customWidth="1" style="2" min="1" max="1"/>
    <col width="26.140625" customWidth="1" style="2" min="2" max="2"/>
    <col width="31.7109375" customWidth="1" style="71" min="3" max="3"/>
    <col width="41.5703125" customWidth="1" style="2" min="4" max="4"/>
    <col width="46.28515625" customWidth="1" style="2" min="5" max="5"/>
    <col width="54.7109375" customWidth="1" style="2" min="6" max="6"/>
    <col width="9.140625" customWidth="1" style="2" min="7" max="16384"/>
  </cols>
  <sheetData>
    <row r="1">
      <c r="B1" s="62" t="inlineStr">
        <is>
          <t>AUBREY THRASHER- IA</t>
        </is>
      </c>
    </row>
    <row r="2">
      <c r="B2" s="62" t="inlineStr">
        <is>
          <t>Costs Thru 10-19-2026</t>
        </is>
      </c>
    </row>
    <row r="3">
      <c r="B3" s="44" t="n"/>
      <c r="C3" s="72" t="n"/>
      <c r="D3" s="44" t="n"/>
      <c r="E3" s="8" t="inlineStr">
        <is>
          <t> </t>
        </is>
      </c>
    </row>
    <row r="4">
      <c r="B4" s="44" t="n"/>
      <c r="C4" s="72" t="n"/>
      <c r="D4" s="44" t="n"/>
      <c r="E4" s="8" t="n"/>
    </row>
    <row r="5">
      <c r="B5" s="74" t="inlineStr">
        <is>
          <t>Total</t>
        </is>
      </c>
      <c r="C5" s="75">
        <f>SUM(C8:C10)</f>
        <v/>
      </c>
      <c r="E5" s="10" t="n"/>
    </row>
    <row r="6">
      <c r="C6" s="71" t="n"/>
    </row>
    <row r="7" ht="26.25" customHeight="1">
      <c r="A7" s="45" t="inlineStr">
        <is>
          <t>DEFENDANT'S NAME</t>
        </is>
      </c>
      <c r="B7" s="45" t="inlineStr">
        <is>
          <t>REF NO.</t>
        </is>
      </c>
      <c r="C7" s="73" t="inlineStr">
        <is>
          <t>AMOUNT</t>
        </is>
      </c>
      <c r="D7" s="43" t="inlineStr">
        <is>
          <t>COST REASON</t>
        </is>
      </c>
      <c r="E7" s="45" t="inlineStr">
        <is>
          <t>Date</t>
        </is>
      </c>
      <c r="F7" s="43" t="inlineStr">
        <is>
          <t>Notes</t>
        </is>
      </c>
    </row>
    <row r="8">
      <c r="A8" t="inlineStr">
        <is>
          <t>RC/FB Property Incorporated</t>
        </is>
      </c>
      <c r="B8" t="inlineStr">
        <is>
          <t>2025-7309</t>
        </is>
      </c>
      <c r="C8" s="70" t="n">
        <v>215</v>
      </c>
      <c r="D8" t="inlineStr">
        <is>
          <t>EFJT:E-Filed Foreign Judgment</t>
        </is>
      </c>
      <c r="E8" s="76" t="n">
        <v>46226</v>
      </c>
      <c r="F8" t="inlineStr"/>
    </row>
    <row r="9">
      <c r="A9" t="inlineStr">
        <is>
          <t>Thorpe Excavating, Inc.</t>
        </is>
      </c>
      <c r="B9" t="inlineStr">
        <is>
          <t>2023-2548</t>
        </is>
      </c>
      <c r="C9" s="70" t="n">
        <v>35</v>
      </c>
      <c r="D9" t="inlineStr">
        <is>
          <t>EGRN:E-filed Garnishment Fee</t>
        </is>
      </c>
      <c r="E9" s="76" t="n">
        <v>46227</v>
      </c>
      <c r="F9" t="inlineStr"/>
    </row>
    <row r="10">
      <c r="A10" t="inlineStr">
        <is>
          <t>Thorpe Excavating, Inc.</t>
        </is>
      </c>
      <c r="B10" t="inlineStr">
        <is>
          <t>2023-2548</t>
        </is>
      </c>
      <c r="C10" s="70" t="n">
        <v>71.67</v>
      </c>
      <c r="D10" t="inlineStr">
        <is>
          <t>ESHF:E-filed Sheriff's Fee</t>
        </is>
      </c>
      <c r="E10" s="76" t="n">
        <v>46227</v>
      </c>
      <c r="F10" t="inlineStr"/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2026-10-19T05:58:00Z</dcterms:modified>
  <cp:lastModifiedBy>Parvathynathan K</cp:lastModifiedBy>
</cp:coreProperties>
</file>